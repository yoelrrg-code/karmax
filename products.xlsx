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yoelkys/Downloads/"/>
    </mc:Choice>
  </mc:AlternateContent>
  <xr:revisionPtr revIDLastSave="0" documentId="13_ncr:1_{5C388EB3-1A70-914A-AF95-434214AEFD4D}" xr6:coauthVersionLast="47" xr6:coauthVersionMax="47" xr10:uidLastSave="{00000000-0000-0000-0000-000000000000}"/>
  <bookViews>
    <workbookView xWindow="0" yWindow="780" windowWidth="41120" windowHeight="24280" xr2:uid="{00000000-000D-0000-FFFF-FFFF00000000}"/>
  </bookViews>
  <sheets>
    <sheet name="08 Handoff Diseño" sheetId="2" r:id="rId1"/>
  </sheets>
  <definedNames>
    <definedName name="Z_B6139401_3496_4809_86E1_3C50A31B3619_.wvu.FilterData" localSheetId="0" hidden="1">'08 Handoff Diseño'!$A$1:$K$237</definedName>
  </definedNames>
  <calcPr calcId="191029"/>
  <customWorkbookViews>
    <customWorkbookView name="DesignerHandoffTable filter view" guid="{B6139401-3496-4809-86E1-3C50A31B361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5WuThZiQskrG95qbneIsLMqmrpge5860/qD/1VEVbA=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</calcChain>
</file>

<file path=xl/sharedStrings.xml><?xml version="1.0" encoding="utf-8"?>
<sst xmlns="http://schemas.openxmlformats.org/spreadsheetml/2006/main" count="1571" uniqueCount="744">
  <si>
    <t>KMX-MUS-LAV-1L-N</t>
  </si>
  <si>
    <t>Limpiador multiusos</t>
  </si>
  <si>
    <t>KARMAX</t>
  </si>
  <si>
    <t>Lavanda</t>
  </si>
  <si>
    <t>1L</t>
  </si>
  <si>
    <t>https://karmax.mx/wp-content/uploads/2026/01/multiusos.png | https://karmax.mx/wp-content/uploads/2026/01/FABULOSO-1-LT-EDITADO.png | https://karmax.mx/wp-content/uploads/2026/01/FABULOSO-10-LTS-EDITADO.png</t>
  </si>
  <si>
    <t>Limpiador multiusos para la limpieza rutinaria de superficies lavables en oficinas, comercios e instalaciones.</t>
  </si>
  <si>
    <t>Limpiador multiusos para la limpieza rutinaria de superficies lavables en oficinas, comercios e instalaciones. Ayuda a remover suciedad ligera y residuos de uso diario.</t>
  </si>
  <si>
    <t>KMX-MUS-LAV-GAL-N</t>
  </si>
  <si>
    <t>GAL</t>
  </si>
  <si>
    <t>KMX-MUS-LAV-10L-N</t>
  </si>
  <si>
    <t>10L</t>
  </si>
  <si>
    <t>KMX-MUS-LAV-20L-N</t>
  </si>
  <si>
    <t>20L</t>
  </si>
  <si>
    <t>KMX-MUS-MAR-1L-N</t>
  </si>
  <si>
    <t>Mar fresco</t>
  </si>
  <si>
    <t>KMX-MUS-MAR-GAL-N</t>
  </si>
  <si>
    <t>KMX-MUS-MAR-10L-N</t>
  </si>
  <si>
    <t>KMX-MUS-MAR-20L-N</t>
  </si>
  <si>
    <t>KMX-MUS-PRI-1L-N</t>
  </si>
  <si>
    <t>Primaveral</t>
  </si>
  <si>
    <t>KMX-MUS-PRI-GAL-N</t>
  </si>
  <si>
    <t>KMX-MUS-PRI-10L-N</t>
  </si>
  <si>
    <t>KMX-MUS-PRI-20L-N</t>
  </si>
  <si>
    <t>KMX-PIN-STD-1L-N</t>
  </si>
  <si>
    <t>Limpiador con pino</t>
  </si>
  <si>
    <t>https://karmax.mx/wp-content/uploads/2026/01/pino.png | https://karmax.mx/wp-content/uploads/2026/01/PINOL-1-LT-EDITADO-1.png | https://karmax.mx/wp-content/uploads/2026/01/PINOL-GALL-EDITADO.png | https://karmax.mx/wp-content/uploads/2026/01/PINOL-10-LTS-EDITADO.png</t>
  </si>
  <si>
    <t>Limpiador líquido con aroma a pino para pisos y superficies lavables.</t>
  </si>
  <si>
    <t>Limpiador líquido con aroma a pino para pisos y superficies lavables. Adecuado para limpieza rutinaria de áreas comunes, baños, oficinas y comercios.</t>
  </si>
  <si>
    <t>KMX-PIN-STD-GAL-N</t>
  </si>
  <si>
    <t>KMX-PIN-STD-10L-N</t>
  </si>
  <si>
    <t>KMX-PIN-STD-20L-N</t>
  </si>
  <si>
    <t>KMX-CLO-STD-1L-N</t>
  </si>
  <si>
    <t>Cloro</t>
  </si>
  <si>
    <t>https://karmax.mx/wp-content/uploads/2025/11/cloro-3.png | https://karmax.mx/wp-content/uploads/2025/11/CLORO-GALL-EDITADO-1.png | https://karmax.mx/wp-content/uploads/2025/11/CLORO-10-LTS-EDITADO.png | https://karmax.mx/wp-content/uploads/2025/11/CLORO-Y-JABON-DE-MANO-1-LT-EDITADO.png</t>
  </si>
  <si>
    <t>Cloro para limpieza y desinfección de superficies lavables en baños, cocinas y áreas de servicio.</t>
  </si>
  <si>
    <t>Cloro para limpieza y desinfección de superficies lavables en baños, cocinas y áreas de servicio. Utilizar conforme a las indicaciones del producto y la ficha técnica.</t>
  </si>
  <si>
    <t>KMX-CLO-STD-GAL-N</t>
  </si>
  <si>
    <t>KMX-CLO-STD-10L-N</t>
  </si>
  <si>
    <t>KMX-CLO-STD-20L-N</t>
  </si>
  <si>
    <t>KMX-LVI-STD-1L-N</t>
  </si>
  <si>
    <t>Limpiavidrios</t>
  </si>
  <si>
    <t>https://karmax.mx/wp-content/uploads/2026/01/windex-3.png | https://karmax.mx/wp-content/uploads/2026/01/WINDEX-GALL-EDITADO.png | https://karmax.mx/wp-content/uploads/2026/01/WINDEX-10-LTS-EDITADO.png | https://karmax.mx/wp-content/uploads/2026/01/WINDEX-1-LT-EDITADO-1.png</t>
  </si>
  <si>
    <t>Limpiador líquido para vidrios, espejos y superficies similares.</t>
  </si>
  <si>
    <t>Limpiador líquido para vidrios, espejos y superficies similares. Ayuda a retirar marcas, polvo y suciedad ligera para facilitar un acabado limpio.</t>
  </si>
  <si>
    <t>KMX-LVI-STD-GAL-N</t>
  </si>
  <si>
    <t>KMX-LVI-STD-10L-N</t>
  </si>
  <si>
    <t>KMX-LVI-STD-20L-N</t>
  </si>
  <si>
    <t>KMX-DIN-STD-1L-N</t>
  </si>
  <si>
    <t>Desinfectante</t>
  </si>
  <si>
    <t>https://karmax.mx/wp-content/uploads/2026/01/abrillantador-karmax-3.png | https://karmax.mx/wp-content/uploads/2026/01/ABRILLANTADOR-INT-EXT-ALTA-CALIDAD-GALL-EDITADO.png | https://karmax.mx/wp-content/uploads/2026/01/DESINFECTANTE-DE-SUPERFICIES-10-LTS-EDITADO.png | https://karmax.mx/wp-content/uploads/2026/01/DESINFECTANTE-DE-SUPERFICIES-PARA-ATOMIZADOR-1-LT-EDITADO-1.png</t>
  </si>
  <si>
    <t>Desinfectante líquido para superficies lavables en áreas de uso frecuente.</t>
  </si>
  <si>
    <t>Desinfectante líquido para superficies lavables en áreas de uso frecuente. Adecuado para oficinas, comercios, baños y áreas de servicio; utilizar conforme a las indicaciones del producto.</t>
  </si>
  <si>
    <t>KMX-DIN-STD-GAL-N</t>
  </si>
  <si>
    <t>KMX-DIN-STD-10L-N</t>
  </si>
  <si>
    <t>KMX-DIN-STD-20L-N</t>
  </si>
  <si>
    <t>REV-QUI-MUE-400ML</t>
  </si>
  <si>
    <t>Abrillantador de muebles</t>
  </si>
  <si>
    <t>Wiese</t>
  </si>
  <si>
    <t>400ML</t>
  </si>
  <si>
    <t>https://karmax.mx/wp-content/uploads/2026/01/abrillantador-wiese-1.png | https://karmax.mx/wp-content/uploads/2026/01/abrillantador-wiese.png</t>
  </si>
  <si>
    <t>Abrillantador de muebles Wiese de 400 ml.</t>
  </si>
  <si>
    <t>Abrillantador de muebles Wiese de 400 ml. Ayuda a remover polvo y manchas ligeras, dejando una apariencia limpia y brillante sin acumulación cerosa en superficies compatibles como madera, piel, granito y laminados.</t>
  </si>
  <si>
    <t>REV-JPO-ARC-9KG</t>
  </si>
  <si>
    <t>Jabón en polvo Arcoíris</t>
  </si>
  <si>
    <t>Arcoíris</t>
  </si>
  <si>
    <t>9KG</t>
  </si>
  <si>
    <t>https://karmax.mx/wp-content/uploads/2026/01/ARCOIRIS.png</t>
  </si>
  <si>
    <t>Detergente en polvo multiusos Arcoíris para tareas de lavado y limpieza.</t>
  </si>
  <si>
    <t>Detergente en polvo multiusos Arcoíris para tareas de lavado y limpieza. Presentación de 9 kg.</t>
  </si>
  <si>
    <t>KMX-SUV-STD-1L-N</t>
  </si>
  <si>
    <t>Suavizante de ropa</t>
  </si>
  <si>
    <t>https://karmax.mx/wp-content/uploads/2026/01/suavizante-telas.png | https://karmax.mx/wp-content/uploads/2026/01/SUAVIZANTE-GALL-EDITADO.png | https://karmax.mx/wp-content/uploads/2026/01/SUAVIZANTE-10-LTS-EDITADO-1.png | https://karmax.mx/wp-content/uploads/2026/01/SUAVIZANTE-LT-EDITADO.png</t>
  </si>
  <si>
    <t>Suavizante líquido para el enjuague final de ropa y textiles.</t>
  </si>
  <si>
    <t>Suavizante líquido para el enjuague final de ropa y textiles. Ayuda a dejar una sensación más suave y un aroma agradable después del lavado.</t>
  </si>
  <si>
    <t>KMX-SUV-STD-GAL-N</t>
  </si>
  <si>
    <t>KMX-SUV-STD-10L-N</t>
  </si>
  <si>
    <t>KMX-SUV-STD-20L-N</t>
  </si>
  <si>
    <t>KMX-DTR-STD-1L-N</t>
  </si>
  <si>
    <t>Detergente para ropa</t>
  </si>
  <si>
    <t>https://karmax.mx/wp-content/uploads/2026/01/DETERGENTE-ROPA-COLOR-3.png | https://karmax.mx/wp-content/uploads/2026/01/DETERGENTE-ROPA-DE-COLOR-GALL-EDITADO.png | https://karmax.mx/wp-content/uploads/2026/01/DETERGENTE-ROPA-DE-COLOR-10-LTS-EDITADO.png | https://karmax.mx/wp-content/uploads/2026/01/DETERGENTE-ROPA-DE-COLOR-1-LT-EDITADO-1.png</t>
  </si>
  <si>
    <t>Detergente líquido para lavado de ropa de color y textiles de uso frecuente.</t>
  </si>
  <si>
    <t>Detergente líquido para lavado de ropa de color y textiles de uso frecuente. Adecuado para lavandería comercial, institucional y doméstica.</t>
  </si>
  <si>
    <t>KMX-DTR-STD-GAL-N</t>
  </si>
  <si>
    <t>KMX-DTR-STD-10L-N</t>
  </si>
  <si>
    <t>KMX-DTR-STD-20L-N</t>
  </si>
  <si>
    <t>KMX-DTO-STD-1L-N</t>
  </si>
  <si>
    <t>Detergente para ropa oscura</t>
  </si>
  <si>
    <t>https://karmax.mx/wp-content/uploads/2026/01/detergente-ropa-oscura-3.png | https://karmax.mx/wp-content/uploads/2026/01/DETERGENTE-ROPA-NEGRA-GALL-EDITADO.png | https://karmax.mx/wp-content/uploads/2026/01/DETERGENTE-ROPA-NEGRA-10-LTS-EDITADO.png | https://karmax.mx/wp-content/uploads/2026/01/DETERGENTE-ROPA-NEGRA-1-LT-EDITADO-1.png</t>
  </si>
  <si>
    <t>Detergente líquido para prendas oscuras y negras, diseñado para limpieza regular con enfoque en el cuidado del color.</t>
  </si>
  <si>
    <t>KMX-DTO-STD-GAL-N</t>
  </si>
  <si>
    <t>KMX-DTO-STD-10L-N</t>
  </si>
  <si>
    <t>KMX-DTO-STD-20L-N</t>
  </si>
  <si>
    <t>KMX-ZOT-STD-1L-N</t>
  </si>
  <si>
    <t>Detergente tipo Zote</t>
  </si>
  <si>
    <t>https://karmax.mx/wp-content/uploads/2026/02/jabon-liq-blanco-zote.png | https://karmax.mx/wp-content/uploads/2026/02/ZOTE-10-LT-EDITADO-.png | https://karmax.mx/wp-content/uploads/2026/02/ZOTE-GALL-EDITADO.png | https://karmax.mx/wp-content/uploads/2026/02/ZOTE-LT-EDITADO-1.png</t>
  </si>
  <si>
    <t>Detergente líquido tipo jabón blanco para lavado de ropa, trapos y textiles de uso frecuente.</t>
  </si>
  <si>
    <t>Detergente líquido tipo jabón blanco para lavado de ropa, trapos y textiles de uso frecuente. Adecuado para lavanderías, restaurantes, hoteles y otras operaciones con lavado recurrente.</t>
  </si>
  <si>
    <t>KMX-ZOT-STD-GAL-N</t>
  </si>
  <si>
    <t>KMX-ZOT-STD-10L-N</t>
  </si>
  <si>
    <t>KMX-ZOT-STD-20L-N</t>
  </si>
  <si>
    <t>KMX-QTM-STD-1L-N</t>
  </si>
  <si>
    <t>Quitamanchas</t>
  </si>
  <si>
    <t>https://karmax.mx/wp-content/uploads/2026/01/3-MEDIDAS.jpeg | https://karmax.mx/wp-content/uploads/2026/01/VANISH-1-LT-EDITADO.png</t>
  </si>
  <si>
    <t>Auxiliar de lavado para pretratar manchas en ropa y textiles lavables antes o durante el ciclo de lavado.</t>
  </si>
  <si>
    <t>Auxiliar de lavado para pretratar manchas en ropa y textiles lavables antes o durante el ciclo de lavado. Revisar compatibilidad con el tipo de tela.</t>
  </si>
  <si>
    <t>KMX-QTM-STD-GAL-N</t>
  </si>
  <si>
    <t>KMX-QTM-STD-10L-N</t>
  </si>
  <si>
    <t>KMX-QTM-STD-20L-N</t>
  </si>
  <si>
    <t>KMX-RDE-STD-1L-N</t>
  </si>
  <si>
    <t>Detergente para ropa delicada</t>
  </si>
  <si>
    <t>https://karmax.mx/wp-content/uploads/2026/01/3-MEDIDAS-EDITADO.jpeg | https://karmax.mx/wp-content/uploads/2026/01/VEL-ROSITA-10-LTS-PRUEBA.png</t>
  </si>
  <si>
    <t>Detergente líquido para prendas delicadas y textiles que requieren una limpieza más suave.</t>
  </si>
  <si>
    <t>Detergente líquido para prendas delicadas y textiles que requieren una limpieza más suave. Adecuado para lavanderías y operaciones con prendas de cuidado especial.</t>
  </si>
  <si>
    <t>KMX-RDE-STD-GAL-N</t>
  </si>
  <si>
    <t>KMX-RDE-STD-10L-N</t>
  </si>
  <si>
    <t>KMX-RDE-STD-20L-N</t>
  </si>
  <si>
    <t>KMX-DTX-STD-1L-N</t>
  </si>
  <si>
    <t>Desengrasante textil</t>
  </si>
  <si>
    <t>https://karmax.mx/wp-content/uploads/2026/01/desengrasante-textil.png | https://karmax.mx/wp-content/uploads/2026/01/DESENGRASANTE-TEXTELO-1-LT-EDITADO-1.png | https://karmax.mx/wp-content/uploads/2026/01/DESENGRASANTE-10-LTS-EDITADO.png</t>
  </si>
  <si>
    <t>Producto para pretratamiento de grasa y suciedad en textiles lavables.</t>
  </si>
  <si>
    <t>Producto para pretratamiento de grasa y suciedad en textiles lavables. Adecuado para lavanderías, hoteles, restaurantes y otras operaciones con lavado recurrente.</t>
  </si>
  <si>
    <t>KMX-DTX-STD-GAL-N</t>
  </si>
  <si>
    <t>KMX-DTX-STD-10L-N</t>
  </si>
  <si>
    <t>KMX-DTX-STD-20L-N</t>
  </si>
  <si>
    <t>KMX-DES-STD-1L-N</t>
  </si>
  <si>
    <t>Desengrasante</t>
  </si>
  <si>
    <t>https://karmax.mx/wp-content/uploads/2026/01/desengrasante.png</t>
  </si>
  <si>
    <t>Desengrasante para remover grasa y suciedad adherida en superficies lavables de cocinas, talleres y áreas de servicio.</t>
  </si>
  <si>
    <t>Desengrasante para remover grasa y suciedad adherida en superficies lavables de cocinas, talleres y áreas de servicio. Adecuado para operaciones de limpieza comercial e institucional.</t>
  </si>
  <si>
    <t>KMX-DES-STD-GAL-N</t>
  </si>
  <si>
    <t>KMX-DES-STD-10L-N</t>
  </si>
  <si>
    <t>KMX-DES-STD-20L-N</t>
  </si>
  <si>
    <t>KMX-LVT-STD-2.9L-N</t>
  </si>
  <si>
    <t>Lavatrastes</t>
  </si>
  <si>
    <t>2.9L</t>
  </si>
  <si>
    <t>https://karmax.mx/wp-content/uploads/2026/01/lavatrastes-2.9-litros.png</t>
  </si>
  <si>
    <t>KMX-SHA-STD-1L-N</t>
  </si>
  <si>
    <t>Shampoo para auto</t>
  </si>
  <si>
    <t>https://karmax.mx/wp-content/uploads/2026/01/shampoo-con-cera.png</t>
  </si>
  <si>
    <t>Shampoo para lavado exterior de vehículos.</t>
  </si>
  <si>
    <t>Shampoo para lavado exterior de vehículos. Ayuda a remover suciedad superficial y facilita la limpieza rutinaria en operaciones de lavado automotriz.</t>
  </si>
  <si>
    <t>KMX-SHA-STD-GAL-N</t>
  </si>
  <si>
    <t>KMX-SHA-STD-10L-N</t>
  </si>
  <si>
    <t>KMX-SHA-STD-20L-N</t>
  </si>
  <si>
    <t>KMX-ABT-STD-550ML-N</t>
  </si>
  <si>
    <t>Abrillantador exterior - interior aroma cítrico</t>
  </si>
  <si>
    <t>550ML</t>
  </si>
  <si>
    <t>https://karmax.mx/wp-content/uploads/2026/01/abrillantador-int-ext-2.png | https://karmax.mx/wp-content/uploads/2026/01/ABRILLANTADOR-INT-EXT-ALTA-CALIDAD-550-ML-EDITADO.png | https://karmax.mx/wp-content/uploads/2026/01/ABRILLANTADOR-INT-EXT-ALTA-CALIDAD-GALL-EDITADO-1.png</t>
  </si>
  <si>
    <t>KMX-ABT-STD-GAL-N</t>
  </si>
  <si>
    <t>KMX-ABA-STD-1L-N</t>
  </si>
  <si>
    <t>Abrillantador exterior</t>
  </si>
  <si>
    <t>Abrillantador automotriz para realzar el acabado de superficies compatibles del vehículo.</t>
  </si>
  <si>
    <t>Abrillantador automotriz para realzar el acabado de superficies compatibles del vehículo. Consultar la ficha técnica para aplicaciones y modo de uso.</t>
  </si>
  <si>
    <t>KMX-ABA-STD-GAL-N</t>
  </si>
  <si>
    <t>KMX-ABA-STD-10L-N</t>
  </si>
  <si>
    <t>KMX-ABA-STD-20L-N</t>
  </si>
  <si>
    <t>KMX-JLM-FRE-1L-N</t>
  </si>
  <si>
    <t>Jabón líquido para manos</t>
  </si>
  <si>
    <t>Fresa</t>
  </si>
  <si>
    <t>https://karmax.mx/wp-content/uploads/2026/01/jabon-de-manos-3.png | https://karmax.mx/wp-content/uploads/2026/01/JABON-DE-MANO-1-LT-EDITADO.png | https://karmax.mx/wp-content/uploads/2026/01/DESENGRASANTE-10-LTS-EDITADO-.png | https://karmax.mx/wp-content/uploads/2026/01/SHAMPOO-PARA-AUTO-GALL-EDITADO.png</t>
  </si>
  <si>
    <t>Jabón líquido para el lavado frecuente de manos en baños, cocinas y áreas de servicio.</t>
  </si>
  <si>
    <t>Jabón líquido para el lavado frecuente de manos en baños, cocinas y áreas de servicio. Adecuado para dispensadores y reposición en entornos comerciales e institucionales.</t>
  </si>
  <si>
    <t>KMX-JLM-FRE-GAL-N</t>
  </si>
  <si>
    <t>KMX-JLM-FRE-10L-N</t>
  </si>
  <si>
    <t>KMX-JLM-FRE-20L-N</t>
  </si>
  <si>
    <t>KMX-JLM-LIM-1L-N</t>
  </si>
  <si>
    <t>Limón</t>
  </si>
  <si>
    <t>KMX-JLM-LIM-GAL-N</t>
  </si>
  <si>
    <t>KMX-JLM-LIM-10L-N</t>
  </si>
  <si>
    <t>KMX-JLM-LIM-20L-N</t>
  </si>
  <si>
    <t>KMX-JLM-VAI-1L-N</t>
  </si>
  <si>
    <t>Vainilla</t>
  </si>
  <si>
    <t>KMX-JLM-VAI-GAL-N</t>
  </si>
  <si>
    <t>KMX-JLM-VAI-10L-N</t>
  </si>
  <si>
    <t>KMX-JLM-VAI-20L-N</t>
  </si>
  <si>
    <t>KMX-GAN-STD-30ML-N</t>
  </si>
  <si>
    <t>Gel antibacterial</t>
  </si>
  <si>
    <t>30ML</t>
  </si>
  <si>
    <t>https://karmax.mx/wp-content/uploads/2026/02/GEL-ANTIBACTERIAL-30-ML.png</t>
  </si>
  <si>
    <t>Gel antibacterial para apoyar la higiene de manos cuando no se dispone de agua y jabón.</t>
  </si>
  <si>
    <t>Gel antibacterial para apoyar la higiene de manos cuando no se dispone de agua y jabón. Adecuado para accesos, recepciones, oficinas y áreas de atención.</t>
  </si>
  <si>
    <t>KMX-GAN-STD-550ML-N</t>
  </si>
  <si>
    <t>https://karmax.mx/wp-content/uploads/2026/01/gel-antibacterial.png | https://karmax.mx/wp-content/uploads/2026/01/GEL-ANTIBACTERIAL-500-ML-EDITADO.png | https://karmax.mx/wp-content/uploads/2026/01/GEL-ANTIBACTERIAL-GALL-EDITADO-1.png</t>
  </si>
  <si>
    <t>KMX-GAN-STD-GAL-N</t>
  </si>
  <si>
    <t>KMX-GAN-STD-10L-N</t>
  </si>
  <si>
    <t>KMX-GAN-STD-20L-N</t>
  </si>
  <si>
    <t>KMX-LAN-STD-30ML-N</t>
  </si>
  <si>
    <t>Líquido antibacterial</t>
  </si>
  <si>
    <t>https://karmax.mx/wp-content/uploads/2026/02/LIQUIDO-ANTIBACTERIAL.jpeg</t>
  </si>
  <si>
    <t>Líquido antibacterial para apoyar rutinas de higiene en puntos de uso frecuente.</t>
  </si>
  <si>
    <t>Líquido antibacterial para apoyar rutinas de higiene en puntos de uso frecuente. Consultar la ficha técnica para aplicaciones, concentración y modo de uso.</t>
  </si>
  <si>
    <t>KMX-LAN-STD-550ML-N</t>
  </si>
  <si>
    <t>https://karmax.mx/wp-content/uploads/2026/01/liquido-ant-3.jpeg | https://karmax.mx/wp-content/uploads/2026/01/ABRILLANTADOR-INT-EXT-ALTA-CALIDAD-GALL-EDITADO.png | https://karmax.mx/wp-content/uploads/2026/01/DESINFECTANTE-DE-SUPERFICIES-10-LTS-EDITADO.png | https://karmax.mx/wp-content/uploads/2026/01/LIQUIDO-ANTIBACTERIAL-500-ML-EDITADO-1.png</t>
  </si>
  <si>
    <t>KMX-LAN-STD-GAL-N</t>
  </si>
  <si>
    <t>KMX-LAN-STD-10L-N</t>
  </si>
  <si>
    <t>KMX-LAN-STD-20L-N</t>
  </si>
  <si>
    <t>KMX-SAR-STD-1L-N</t>
  </si>
  <si>
    <t>Removedor de sarro</t>
  </si>
  <si>
    <t>https://karmax.mx/wp-content/uploads/2026/01/desengrasante-textil.png | https://karmax.mx/wp-content/uploads/2026/01/DESENGRASANTE-10-LTS-EDITADO.png</t>
  </si>
  <si>
    <t>Removedor de sarro para depósitos minerales en superficies compatibles de baños y sanitarios.</t>
  </si>
  <si>
    <t>Removedor de sarro para depósitos minerales en superficies compatibles de baños y sanitarios. Utilizar conforme a las indicaciones del producto y la ficha técnica.</t>
  </si>
  <si>
    <t>KMX-SAR-STD-GAL-N</t>
  </si>
  <si>
    <t>KMX-SAR-STD-10L-N</t>
  </si>
  <si>
    <t>KMX-SAR-STD-20L-N</t>
  </si>
  <si>
    <t>REV-SAN-WIE-PZA</t>
  </si>
  <si>
    <t>Pastilla sanitaria Wiese</t>
  </si>
  <si>
    <t>PZA</t>
  </si>
  <si>
    <t>https://karmax.mx/wp-content/uploads/2026/01/pastilla-sanitaria-wiese.png</t>
  </si>
  <si>
    <t>Pastilla sanitaria para limpieza y aromatización de inodoros.</t>
  </si>
  <si>
    <t>Pastilla sanitaria para limpieza y aromatización de inodoros. Adecuada para baños de uso comercial e institucional.</t>
  </si>
  <si>
    <t>REV-SAN-LIS-PZA</t>
  </si>
  <si>
    <t>Tapete para mingitorio liso</t>
  </si>
  <si>
    <t>https://karmax.mx/wp-content/uploads/2026/01/TAPETE-LISOW.png</t>
  </si>
  <si>
    <t>Tapete liso Wiese para mingitorio, diseñado para complementar la higiene y aromatización del sanitario.</t>
  </si>
  <si>
    <t>REV-SAN-HAR-750ML</t>
  </si>
  <si>
    <t>Harpic Wiese</t>
  </si>
  <si>
    <t>750ML</t>
  </si>
  <si>
    <t>https://karmax.mx/wp-content/uploads/2026/01/harpic-wiese.png</t>
  </si>
  <si>
    <t>Limpiador sanitario en gel para WC y superficies compatibles del baño.</t>
  </si>
  <si>
    <t>Limpiador sanitario en gel para WC y superficies compatibles del baño. Utilizar conforme a las indicaciones del fabricante.</t>
  </si>
  <si>
    <t>REV-SAN-MIC-PZA</t>
  </si>
  <si>
    <t>Tapete microtubo</t>
  </si>
  <si>
    <t>https://karmax.mx/wp-content/uploads/2026/01/TAPETE-MICROTUBO.png</t>
  </si>
  <si>
    <t>Tapete para mingitorio diseñado para reducir salpicaduras y apoyar el control de olores en sanitarios.</t>
  </si>
  <si>
    <t>REV-SAN-PAS-PZA</t>
  </si>
  <si>
    <t>Tapete para mingitorio con pastilla</t>
  </si>
  <si>
    <t>https://karmax.mx/wp-content/uploads/2026/01/TAPETE-CON-PASTILLA.png | https://karmax.mx/wp-content/uploads/2026/01/tapete-pastilla-w.png</t>
  </si>
  <si>
    <t>Tapete para mingitorio con pastilla aromatizante, diseñado para apoyar el control de olores y evitar el paso de residuos hacia el desagüe.</t>
  </si>
  <si>
    <t>KMX-EOL-EUC-1L-N</t>
  </si>
  <si>
    <t>Eliminador de olores</t>
  </si>
  <si>
    <t>https://karmax.mx/wp-content/uploads/2026/02/eliminador-de-olores-3.png | https://karmax.mx/wp-content/uploads/2026/02/eliminador-de-olores-galon.jpeg | https://karmax.mx/wp-content/uploads/2026/02/eliminador-olores-10-lts.jpeg | https://karmax.mx/wp-content/uploads/2026/02/eliminador-de-olores-1-lt-1.jpeg</t>
  </si>
  <si>
    <t>Eliminador de olores aroma eucalipto para neutralizar malos olores en espacios interiores y áreas de servicio.</t>
  </si>
  <si>
    <t>Eliminador de olores aroma eucalipto para neutralizar malos olores en espacios interiores y áreas de servicio. Disponible en distintas presentaciones para uso institucional y comercial. Utilizar conforme a las indicaciones del producto.</t>
  </si>
  <si>
    <t>KMX-EOL-EUC-GAL-N</t>
  </si>
  <si>
    <t>KMX-EOL-EUC-10L-N</t>
  </si>
  <si>
    <t>KMX-EOL-EUC-20L-N</t>
  </si>
  <si>
    <t>REV-ARO-WIE-180G</t>
  </si>
  <si>
    <t>Aerosol Wiese para dispensador</t>
  </si>
  <si>
    <t>180G</t>
  </si>
  <si>
    <t>https://karmax.mx/wp-content/uploads/2026/01/aromatizante-wiese-180-g.png | https://karmax.mx/wp-content/uploads/2026/01/aromatizante-180.png | https://karmax.mx/wp-content/uploads/2026/01/aromatizante180.png</t>
  </si>
  <si>
    <t>Repuesto aromatizante en aerosol para dispensadores automáticos.</t>
  </si>
  <si>
    <t>Repuesto aromatizante en aerosol para dispensadores automáticos. Diseñado para apoyar el control de olores en baños, oficinas, hoteles y otras áreas interiores.</t>
  </si>
  <si>
    <t>REV-ARO-STD-226G</t>
  </si>
  <si>
    <t>Aromatizante ambiental</t>
  </si>
  <si>
    <t>226G</t>
  </si>
  <si>
    <t>https://karmax.mx/wp-content/uploads/2026/01/aromatizante-wiese-226-g.png | https://karmax.mx/wp-content/uploads/2026/01/wiesse-arom.png</t>
  </si>
  <si>
    <t>Aromatizante ambiental en aerosol para refrescar espacios interiores y apoyar el control de olores.</t>
  </si>
  <si>
    <t>Aromatizante ambiental en aerosol para refrescar espacios interiores y apoyar el control de olores. Adecuado para baños, oficinas, comercios y áreas de servicio.</t>
  </si>
  <si>
    <t>REV-ARO-DIN-226G</t>
  </si>
  <si>
    <t>Desinfectante ambiental</t>
  </si>
  <si>
    <t>https://karmax.mx/wp-content/uploads/2026/01/DESINFECTANTE-WIESE226.png | https://karmax.mx/wp-content/uploads/2026/01/DESINFECTANTE-WIESE.png</t>
  </si>
  <si>
    <t>Aerosol desinfectante ambiental para uso en áreas interiores.</t>
  </si>
  <si>
    <t>Aerosol desinfectante ambiental para uso en áreas interiores. Consultar la etiqueta y ficha técnica para superficies compatibles, tiempos de contacto y precauciones.</t>
  </si>
  <si>
    <t>REV-TXT-MIC-PZA</t>
  </si>
  <si>
    <t>Paño de microfibra</t>
  </si>
  <si>
    <t>https://karmax.mx/wp-content/uploads/2026/01/tela-microfibra-colores.png</t>
  </si>
  <si>
    <t>Paño de microfibra para limpieza, secado y retiro de polvo en superficies compatibles.</t>
  </si>
  <si>
    <t>Paño de microfibra para limpieza, secado y retiro de polvo en superficies compatibles. Disponible en variedad de colores.</t>
  </si>
  <si>
    <t>REV-TRA-PAY-PZA</t>
  </si>
  <si>
    <t>Trapeador microfibra toalla payaso</t>
  </si>
  <si>
    <t>https://karmax.mx/wp-content/uploads/2026/01/trapeador-microfibra-payaso.png</t>
  </si>
  <si>
    <t>Trapeador para limpieza húmeda de pisos y superficies compatibles.</t>
  </si>
  <si>
    <t>Trapeador para limpieza húmeda de pisos y superficies compatibles. Adecuado para rutinas de limpieza en comercios, oficinas e instalaciones.</t>
  </si>
  <si>
    <t>REV-TXT-AZU-ROLLO</t>
  </si>
  <si>
    <t>Toalla azul Scott Shop en rollo</t>
  </si>
  <si>
    <t>Scott Shop</t>
  </si>
  <si>
    <t>ROLLO</t>
  </si>
  <si>
    <t>https://karmax.mx/wp-content/uploads/2026/01/tela-azul.png</t>
  </si>
  <si>
    <t>Rollo de toalla azul Scott Shop para tareas de limpieza y absorción en áreas de trabajo y servicio.</t>
  </si>
  <si>
    <t>REV-TXT-KIR-PZA</t>
  </si>
  <si>
    <t>Paño de microfibra Kirkland</t>
  </si>
  <si>
    <t>Kirkland</t>
  </si>
  <si>
    <t>https://karmax.mx/wp-content/uploads/2026/01/tela-kirkland-1.png</t>
  </si>
  <si>
    <t>Paño de microfibra Kirkland suave y afelpado para limpieza y secado de superficies.</t>
  </si>
  <si>
    <t>Paño de microfibra Kirkland suave y afelpado para limpieza y secado de superficies. No deja pelusa y puede utilizarse para retirar polvo, exceso de cera y residuos ligeros sin rayar superficies compatibles.</t>
  </si>
  <si>
    <t>REV-TRA-ESP-PZA</t>
  </si>
  <si>
    <t>Trapeador microfibra española mediano</t>
  </si>
  <si>
    <t>https://karmax.mx/wp-content/uploads/2026/01/TRAPEADOR-MICROFIBRA-ESPANOLA.png</t>
  </si>
  <si>
    <t>REV-FIB-MIX-PZA</t>
  </si>
  <si>
    <t>Fibra mixta</t>
  </si>
  <si>
    <t>https://karmax.mx/wp-content/uploads/2026/01/fibra-mixta.jpeg</t>
  </si>
  <si>
    <t>Fibra de limpieza para tallado manual de superficies compatibles.</t>
  </si>
  <si>
    <t>Fibra de limpieza para tallado manual de superficies compatibles. Seleccionar el tipo de fibra según el nivel de abrasión requerido.</t>
  </si>
  <si>
    <t>REV-CEP-WC-PZA</t>
  </si>
  <si>
    <t>Cepillo WC con base</t>
  </si>
  <si>
    <t>https://karmax.mx/wp-content/uploads/2026/01/ChatGPT-Image-5-feb-2026-16_31_49.png</t>
  </si>
  <si>
    <t>Cepillo para limpieza de WC y sanitarios.</t>
  </si>
  <si>
    <t>Cepillo para limpieza de WC y sanitarios. Adecuado para rutinas de limpieza de baños.</t>
  </si>
  <si>
    <t>REV-FIB-COC-PZA</t>
  </si>
  <si>
    <t>Fibra cocina colores</t>
  </si>
  <si>
    <t>https://karmax.mx/wp-content/uploads/2026/01/fibra-colores-2.png</t>
  </si>
  <si>
    <t>REV-FIB-ALA-PZA</t>
  </si>
  <si>
    <t>Fibra de alambre</t>
  </si>
  <si>
    <t>https://karmax.mx/wp-content/uploads/2026/01/fibra-alambre.png</t>
  </si>
  <si>
    <t>REV-LUS-STD-1L</t>
  </si>
  <si>
    <t>Aceite lustrapisos</t>
  </si>
  <si>
    <t>https://karmax.mx/wp-content/uploads/2026/01/aceite-lustra-pisos.jpeg</t>
  </si>
  <si>
    <t>Aceite lustrapisos preparado para el mantenimiento y realce de pisos compatibles.</t>
  </si>
  <si>
    <t>Aceite lustrapisos preparado para el mantenimiento y realce de pisos compatibles. Presentación de 1 L.</t>
  </si>
  <si>
    <t>REV-ESC-IND-PZA</t>
  </si>
  <si>
    <t>Escoba industrial grande</t>
  </si>
  <si>
    <t>https://karmax.mx/wp-content/uploads/2026/01/escoba-industrial-grande-1.png</t>
  </si>
  <si>
    <t>Escoba para barrido y limpieza manual de pisos en áreas interiores o exteriores, según el modelo.</t>
  </si>
  <si>
    <t>REV-ESC-PUL-PZA</t>
  </si>
  <si>
    <t>Escoba pulgada mediana</t>
  </si>
  <si>
    <t>https://karmax.mx/wp-content/uploads/2026/01/ESCOBA-PULGADA-MEDIANA.png</t>
  </si>
  <si>
    <t>REV-CEP-PLJ-PZA</t>
  </si>
  <si>
    <t>Cepillo plancha jumbo</t>
  </si>
  <si>
    <t>https://karmax.mx/wp-content/uploads/2026/01/cepillo-plancha-jumbo.png</t>
  </si>
  <si>
    <t>Cepillo manual o con bastón para tareas de tallado y limpieza de superficies, según el modelo.</t>
  </si>
  <si>
    <t>REV-MOP-FUN-60CM</t>
  </si>
  <si>
    <t>Funda de pabilo</t>
  </si>
  <si>
    <t>60CM</t>
  </si>
  <si>
    <t>https://karmax.mx/wp-content/uploads/2026/01/funda-pabilo.png</t>
  </si>
  <si>
    <t>Funda de pabilo para sistema de mop, disponible en diferentes colores.</t>
  </si>
  <si>
    <t>Funda de pabilo para sistema de mop, disponible en diferentes colores. Presentación de 60 cm.</t>
  </si>
  <si>
    <t>REV-MOP-FUN-90CM</t>
  </si>
  <si>
    <t>90CM</t>
  </si>
  <si>
    <t>Funda de pabilo para sistema de mop, disponible en diferentes colores. Presentación de 90 cm.</t>
  </si>
  <si>
    <t>REV-MOP-FUN-120CM</t>
  </si>
  <si>
    <t>120CM</t>
  </si>
  <si>
    <t>Funda de pabilo para sistema de mop, disponible en diferentes colores. Presentación de 120 cm.</t>
  </si>
  <si>
    <t>REV-CEP-MON-PZA</t>
  </si>
  <si>
    <t>Cepillo tipo moño suave con bastón</t>
  </si>
  <si>
    <t>https://karmax.mx/wp-content/uploads/2026/01/cepillo-tipo-mono.png</t>
  </si>
  <si>
    <t>REV-FIB-CUA-PZA</t>
  </si>
  <si>
    <t>Fibra cuadritela</t>
  </si>
  <si>
    <t>https://karmax.mx/wp-content/uploads/2026/01/fibra-cuadritela.png</t>
  </si>
  <si>
    <t>REV-ESC-CAR-PZA</t>
  </si>
  <si>
    <t>Escoba caramelo económica</t>
  </si>
  <si>
    <t>https://karmax.mx/wp-content/uploads/2026/01/ESCOBA-CARAMELO-ECONOMICA.png</t>
  </si>
  <si>
    <t>REV-PLU-SIN-PZA</t>
  </si>
  <si>
    <t>Plumero sintético manual</t>
  </si>
  <si>
    <t>https://karmax.mx/wp-content/uploads/2026/01/PLUMERO-SINTETICO.png</t>
  </si>
  <si>
    <t>Herramienta para retiro de polvo en superficies, mobiliario y áreas de difícil acceso.</t>
  </si>
  <si>
    <t>Herramienta para retiro de polvo en superficies, mobiliario y áreas de difícil acceso. Elegir el modelo según alcance y tipo de uso.</t>
  </si>
  <si>
    <t>REV-TXT-REY-CJ20</t>
  </si>
  <si>
    <t>Paños reutilizables La Reynera</t>
  </si>
  <si>
    <t>La Reynera</t>
  </si>
  <si>
    <t>CJ20</t>
  </si>
  <si>
    <t>https://karmax.mx/wp-content/uploads/2026/01/microfibra-rey.png | https://karmax.mx/wp-content/uploads/2026/01/microfibra-reynera.png</t>
  </si>
  <si>
    <t>Caja con 20 paños reutilizables de microfibra La Reynera.</t>
  </si>
  <si>
    <t>Caja con 20 paños reutilizables de microfibra La Reynera. Son lavables y absorbentes, y ayudan a limpiar superficies sin dejar marcas ni pelusa.</t>
  </si>
  <si>
    <t>REV-TRA-MIC-PZA</t>
  </si>
  <si>
    <t>Trapeador microfibra mediano La Reynera</t>
  </si>
  <si>
    <t>https://karmax.mx/wp-content/uploads/2026/01/TRAPEADOR-MICROFIBRA-MEDIANO.png</t>
  </si>
  <si>
    <t>REV-TRA-TRE-PZA</t>
  </si>
  <si>
    <t>Trapeador microfibra trenzado mediano</t>
  </si>
  <si>
    <t>https://karmax.mx/wp-content/uploads/2026/01/TRAPEADOR-MICROFIBRA-TRENZADO-MEDIANO.png</t>
  </si>
  <si>
    <t>REV-MOP-ARZ-60CM</t>
  </si>
  <si>
    <t>Armazón para mop</t>
  </si>
  <si>
    <t>https://karmax.mx/wp-content/uploads/2026/01/armazon.png</t>
  </si>
  <si>
    <t>Accesorio para sistema de mop utilizado en limpieza de pisos y superficies amplias.</t>
  </si>
  <si>
    <t>Accesorio para sistema de mop utilizado en limpieza de pisos y superficies amplias. Verificar compatibilidad con el armazón o medida correspondiente.</t>
  </si>
  <si>
    <t>REV-MOP-ARZ-90CM</t>
  </si>
  <si>
    <t>REV-MOP-ARZ-120CM</t>
  </si>
  <si>
    <t>REV-CEP-GOL-PZA</t>
  </si>
  <si>
    <t>Cepillo Golden suave con bastón</t>
  </si>
  <si>
    <t>https://karmax.mx/wp-content/uploads/2026/01/cepillo-golden-suave.png</t>
  </si>
  <si>
    <t>REV-CEP-MAG-PZA</t>
  </si>
  <si>
    <t>Cepillo magnético La Reynera</t>
  </si>
  <si>
    <t>https://karmax.mx/wp-content/uploads/2026/01/cepillo-magnetica-reynera.png</t>
  </si>
  <si>
    <t>REV-CEP-TFU-PZA</t>
  </si>
  <si>
    <t>Cepillo talla fuerte La Reynera</t>
  </si>
  <si>
    <t>https://karmax.mx/wp-content/uploads/2026/01/cepillo-talla-fuerte-rey.png | https://karmax.mx/wp-content/uploads/2026/01/cepillo-talla-fuerte-r.png</t>
  </si>
  <si>
    <t>REV-CUB-12-PZA</t>
  </si>
  <si>
    <t>Cubeta de colores</t>
  </si>
  <si>
    <t>https://karmax.mx/wp-content/uploads/2026/01/cubetas-colores.png</t>
  </si>
  <si>
    <t>Cubeta para apoyo en tareas de limpieza, transporte de agua y preparación de soluciones.</t>
  </si>
  <si>
    <t>REV-CUB-16-PZA</t>
  </si>
  <si>
    <t>REV-ESC-PLA-PZA</t>
  </si>
  <si>
    <t>Escoba plástico mediana</t>
  </si>
  <si>
    <t>https://karmax.mx/wp-content/uploads/2026/01/ESCOBA-PLASTICO-MEDIANA.png</t>
  </si>
  <si>
    <t>REV-PLU-ABA-PZA</t>
  </si>
  <si>
    <t>Abanico grande con bastón</t>
  </si>
  <si>
    <t>https://karmax.mx/wp-content/uploads/2026/01/abanico-grande-con-baston.jpeg</t>
  </si>
  <si>
    <t>Abanico grande con bastón para retirar polvo de superficies y áreas de difícil alcance.</t>
  </si>
  <si>
    <t>Abanico grande con bastón para retirar polvo de superficies y áreas de difícil alcance. Disponible en varios colores.</t>
  </si>
  <si>
    <t>REV-CUB-EXP-PZA</t>
  </si>
  <si>
    <t>Cubeta con exprimidor</t>
  </si>
  <si>
    <t>https://karmax.mx/wp-content/uploads/2026/01/cubeta-exprimidor.png | https://karmax.mx/wp-content/uploads/2026/01/cubeta-exp-.png</t>
  </si>
  <si>
    <t>Cubeta con exprimidor integrado para facilitar el trapeado y reducir el contacto directo con el agua durante la limpieza.</t>
  </si>
  <si>
    <t>REV-EMB-MED-PZA</t>
  </si>
  <si>
    <t>Embudo mediano</t>
  </si>
  <si>
    <t>https://karmax.mx/wp-content/uploads/2026/01/embudo.png | https://karmax.mx/wp-content/uploads/2026/01/embudo-1.png</t>
  </si>
  <si>
    <t>Embudo de plástico resistente, tamaño mediano.</t>
  </si>
  <si>
    <t>Embudo de plástico resistente, tamaño mediano. Disponible en varios colores.</t>
  </si>
  <si>
    <t>REV-FIB-AUT-PZA</t>
  </si>
  <si>
    <t>Esponja para auto</t>
  </si>
  <si>
    <t>https://karmax.mx/wp-content/uploads/2026/01/esponja-de-auto.png</t>
  </si>
  <si>
    <t>Esponja para lavado exterior de vehículos, adecuada para utilizarse con shampoo automotriz.</t>
  </si>
  <si>
    <t>Esponja para lavado exterior de vehículos, adecuada para utilizarse con shampoo automotriz. Disponible en varios colores.</t>
  </si>
  <si>
    <t>REV-JAL-50CM-PZA</t>
  </si>
  <si>
    <t>Jalador 50 cm</t>
  </si>
  <si>
    <t>https://karmax.mx/wp-content/uploads/2026/01/jalador-50-cm.png</t>
  </si>
  <si>
    <t>Jalador para retiro de agua o líquidos en pisos, vidrios u otras superficies compatibles, según el modelo.</t>
  </si>
  <si>
    <t>REV-LVM-MAD-PZA</t>
  </si>
  <si>
    <t>Limpiavidrios con mango de madera</t>
  </si>
  <si>
    <t>https://karmax.mx/wp-content/uploads/2026/01/limpiavidrios.png</t>
  </si>
  <si>
    <t>Jalador limpiavidrios con mango de madera para apoyar la limpieza y el retiro de agua en cristales y superficies lisas.</t>
  </si>
  <si>
    <t>REV-TRA-AUT-PZA</t>
  </si>
  <si>
    <t>Mechudo para auto reforzado</t>
  </si>
  <si>
    <t>https://karmax.mx/wp-content/uploads/2026/01/mechudo.jpeg</t>
  </si>
  <si>
    <t>Accesorio para retiro de polvo y limpieza ligera de superficies del vehículo.</t>
  </si>
  <si>
    <t>REV-REC-LAM-PZA</t>
  </si>
  <si>
    <t>Recogedor de lámina mediano</t>
  </si>
  <si>
    <t>https://karmax.mx/wp-content/uploads/2026/01/recogedor-lamina.jpeg</t>
  </si>
  <si>
    <t>Recogedor para recolección manual de polvo y residuos después del barrido.</t>
  </si>
  <si>
    <t>Recogedor para recolección manual de polvo y residuos después del barrido. Adecuado para rutinas de limpieza general.</t>
  </si>
  <si>
    <t>REV-REC-PLA-PZA</t>
  </si>
  <si>
    <t>Recogedor de plástico</t>
  </si>
  <si>
    <t>https://karmax.mx/wp-content/uploads/2026/01/recogedor-plastico-1.png</t>
  </si>
  <si>
    <t>REV-TRA-PRE-PZA</t>
  </si>
  <si>
    <t>Trapeador preparado mediano</t>
  </si>
  <si>
    <t>https://karmax.mx/wp-content/uploads/2026/01/trapeador-preparado-mediano.jpeg</t>
  </si>
  <si>
    <t>REV-TXT-IND-20KG</t>
  </si>
  <si>
    <t>Trapo industrial</t>
  </si>
  <si>
    <t>20KG</t>
  </si>
  <si>
    <t>https://karmax.mx/wp-content/uploads/2026/01/trapo-industrial.png</t>
  </si>
  <si>
    <t>Paño o textil de limpieza para secado, retiro de polvo y mantenimiento de superficies.</t>
  </si>
  <si>
    <t>Paño o textil de limpieza para secado, retiro de polvo y mantenimiento de superficies. Seleccionar el material según la aplicación.</t>
  </si>
  <si>
    <t>REV-ASR-STD-500G</t>
  </si>
  <si>
    <t>Aserrín</t>
  </si>
  <si>
    <t>500G</t>
  </si>
  <si>
    <t>https://karmax.mx/wp-content/uploads/2026/01/acerrin.jpeg</t>
  </si>
  <si>
    <t>Aserrín en presentación de 500 g para uso general en tareas de limpieza y mantenimiento.</t>
  </si>
  <si>
    <t>REV-BDE-STD-PZA</t>
  </si>
  <si>
    <t>Bomba destapacaño</t>
  </si>
  <si>
    <t>https://karmax.mx/wp-content/uploads/2026/01/detapacano.png</t>
  </si>
  <si>
    <t>Herramienta manual para apoyar el destape de drenajes y sanitarios mediante presión.</t>
  </si>
  <si>
    <t>REV-BDE-REY-PZA</t>
  </si>
  <si>
    <t>Bomba destapacaño La Reynera</t>
  </si>
  <si>
    <t>https://karmax.mx/wp-content/uploads/2026/01/destapacano-reynera.png</t>
  </si>
  <si>
    <t>REV-CEP-REY-PZA</t>
  </si>
  <si>
    <t>Cepillo La Reynera</t>
  </si>
  <si>
    <t>REV-CEP-WCR-PZA</t>
  </si>
  <si>
    <t>Cepillo WC La Reynera</t>
  </si>
  <si>
    <t>https://karmax.mx/wp-content/uploads/2026/01/cepillo-wc-la-reynera.png</t>
  </si>
  <si>
    <t>REV-CEP-DUA-PZA</t>
  </si>
  <si>
    <t>Cepillo dual La Reynera</t>
  </si>
  <si>
    <t>https://karmax.mx/wp-content/uploads/2026/01/cepillo-dual-reynera.png</t>
  </si>
  <si>
    <t>REV-CEP-IXT-PZA</t>
  </si>
  <si>
    <t>Cepillo ixtle 12 pulgadas con bastón</t>
  </si>
  <si>
    <t>https://karmax.mx/wp-content/uploads/2026/01/cepillo-inxtle-con-baston.png</t>
  </si>
  <si>
    <t>REV-CEP-IXM-PZA</t>
  </si>
  <si>
    <t>Cepillo ixtle manual</t>
  </si>
  <si>
    <t>https://karmax.mx/wp-content/uploads/2026/01/cepillo-inxtle-manual.jpg | https://karmax.mx/wp-content/uploads/2026/01/cepillo-inxtle-man.jpg</t>
  </si>
  <si>
    <t>REV-CEP-FIN-PZA</t>
  </si>
  <si>
    <t>Cepillo pisos finos La Reynera</t>
  </si>
  <si>
    <t>https://karmax.mx/wp-content/uploads/2026/01/cepillo-pisos-finos-reynera.png | https://karmax.mx/wp-content/uploads/2026/01/cepillo-pisos-finos-rey.png</t>
  </si>
  <si>
    <t>REV-ORG-COL-PZA</t>
  </si>
  <si>
    <t>Colgador organizador La Reynera</t>
  </si>
  <si>
    <t>https://karmax.mx/wp-content/uploads/2026/01/organizador-reynera.png | https://karmax.mx/wp-content/uploads/2026/01/organizador-la-reynera.png</t>
  </si>
  <si>
    <t>Colgador organizador La Reynera para escobas, trapeadores y otros utensilios de limpieza.</t>
  </si>
  <si>
    <t>Colgador organizador La Reynera para escobas, trapeadores y otros utensilios de limpieza. Cuenta con cinco espacios de sujeción y cuatro ganchos para mantener los accesorios ordenados y accesibles.</t>
  </si>
  <si>
    <t>REV-CUB-7.5L-PZA</t>
  </si>
  <si>
    <t>Cubeta Max La Reynera</t>
  </si>
  <si>
    <t>https://karmax.mx/wp-content/uploads/2026/01/cubeta-max-reynera.png</t>
  </si>
  <si>
    <t>REV-CUB-REY-PZA</t>
  </si>
  <si>
    <t>Cubeta con exprimidor La Reynera</t>
  </si>
  <si>
    <t>https://karmax.mx/wp-content/uploads/2026/01/cubeta-con-exp-reynera.png</t>
  </si>
  <si>
    <t>REV-CUB-20L-PZA</t>
  </si>
  <si>
    <t>Cubeta con exprimidor industrial</t>
  </si>
  <si>
    <t>https://karmax.mx/wp-content/uploads/2026/01/cubeta-con-exprimidor-industrial.png</t>
  </si>
  <si>
    <t>Cubeta con exprimidor para trapeado de uso intensivo.</t>
  </si>
  <si>
    <t>Cubeta con exprimidor para trapeado de uso intensivo. Facilita el transporte de agua y el exprimido del trapeador durante rutinas de limpieza.</t>
  </si>
  <si>
    <t>REV-CUB-KIT-KIT</t>
  </si>
  <si>
    <t>Cubeta giratoria La Reynera kit</t>
  </si>
  <si>
    <t>KIT</t>
  </si>
  <si>
    <t>https://karmax.mx/wp-content/uploads/2026/01/cubeta-giratoria-reynera-1.png</t>
  </si>
  <si>
    <t>Sistema de cubeta y trapeador giratorio para limpieza de pisos, con mecanismo de exprimido integrado.</t>
  </si>
  <si>
    <t>REV-CUB-19L-P5</t>
  </si>
  <si>
    <t>Cubeta usada 19 L</t>
  </si>
  <si>
    <t>P5</t>
  </si>
  <si>
    <t>REV-EMB-CHI-PZA</t>
  </si>
  <si>
    <t>Embudo chico</t>
  </si>
  <si>
    <t>Embudo de plástico resistente, tamaño chico.</t>
  </si>
  <si>
    <t>Embudo de plástico resistente, tamaño chico. Disponible en varios colores.</t>
  </si>
  <si>
    <t>REV-MOP-MFT-60CM</t>
  </si>
  <si>
    <t>Funda lavable de microfibra trenzada</t>
  </si>
  <si>
    <t>https://karmax.mx/wp-content/uploads/2026/01/funda-microfibra-trenzada.png</t>
  </si>
  <si>
    <t>Funda lavable y reutilizable de microfibra trenzada para sistema de mop.</t>
  </si>
  <si>
    <t>Funda lavable y reutilizable de microfibra trenzada para sistema de mop. Presentación de 60 cm.</t>
  </si>
  <si>
    <t>REV-MOP-MFT-90CM</t>
  </si>
  <si>
    <t>Funda lavable y reutilizable de microfibra trenzada para sistema de mop. Presentación de 90 cm.</t>
  </si>
  <si>
    <t>REV-MOP-RAY-60CM</t>
  </si>
  <si>
    <t>Funda lavable de rayón</t>
  </si>
  <si>
    <t>https://karmax.mx/wp-content/uploads/2026/01/funda-rayon-lavable.png</t>
  </si>
  <si>
    <t>Funda lavable de pabilo de rayón para sistema de mop, disponible en diferentes colores.</t>
  </si>
  <si>
    <t>Funda lavable de pabilo de rayón para sistema de mop, disponible en diferentes colores. Presentación de 60 cm.</t>
  </si>
  <si>
    <t>REV-MOP-RAY-120CM</t>
  </si>
  <si>
    <t>Funda lavable de pabilo de rayón para sistema de mop, disponible en diferentes colores. Presentación de 120 cm.</t>
  </si>
  <si>
    <t>REV-JAL-XL-PZA</t>
  </si>
  <si>
    <t>Jalador XL La Reynera</t>
  </si>
  <si>
    <t>https://karmax.mx/wp-content/uploads/2026/01/jalador-xl-reynera.png</t>
  </si>
  <si>
    <t>REV-CEP-KIT-KIT</t>
  </si>
  <si>
    <t>Kit de cepillos La Reynera</t>
  </si>
  <si>
    <t>https://karmax.mx/wp-content/uploads/2026/01/kit-cepillos-reynera.png</t>
  </si>
  <si>
    <t>Kit de cepillos La Reynera con tres cabezales intercambiables para diferentes tareas de limpieza.</t>
  </si>
  <si>
    <t>Kit de cepillos La Reynera con tres cabezales intercambiables para diferentes tareas de limpieza. Incluye dosificador de jabón, base y colgador para mantener los accesorios organizados.</t>
  </si>
  <si>
    <t>REV-PLU-KIT-KIT</t>
  </si>
  <si>
    <t>Kit de sacudidores La Reynera</t>
  </si>
  <si>
    <t>https://karmax.mx/wp-content/uploads/2026/01/kit-sacudidores.png | https://karmax.mx/wp-content/uploads/2026/01/kit-sac-6-en-1.png</t>
  </si>
  <si>
    <t>Kit de sacudidores La Reynera 6 en 1 para retirar polvo de diferentes superficies y áreas de difícil alcance.</t>
  </si>
  <si>
    <t>Kit de sacudidores La Reynera 6 en 1 para retirar polvo de diferentes superficies y áreas de difícil alcance. Incluye mango extensible de hasta 2.44 m, cinco cabezales intercambiables y un sacudidor chico extensible.</t>
  </si>
  <si>
    <t>REV-MOP-COM-40CM</t>
  </si>
  <si>
    <t>Mop completo con armazón La Reynera</t>
  </si>
  <si>
    <t>40CM</t>
  </si>
  <si>
    <t>https://karmax.mx/wp-content/uploads/2026/01/mop-armazon-reynera.png | https://karmax.mx/wp-content/uploads/2026/01/mop-arm-reynera.png</t>
  </si>
  <si>
    <t>Mop completo La Reynera con armazón de 40 cm y funda de microfibra, diseñado para la limpieza de pisos y superficies amplias.</t>
  </si>
  <si>
    <t>REV-ORG-ORG-PZA</t>
  </si>
  <si>
    <t>Organizador La Reynera</t>
  </si>
  <si>
    <t>https://karmax.mx/wp-content/uploads/2026/01/ORGANIZADOR.png | https://karmax.mx/wp-content/uploads/2026/01/ORGANIZADOR-R.png</t>
  </si>
  <si>
    <t>Organizador para almacenar o transportar artículos de limpieza y mantenerlos accesibles durante la operación.</t>
  </si>
  <si>
    <t>REV-PLU-IXT-3M</t>
  </si>
  <si>
    <t>Plumero de ixtle</t>
  </si>
  <si>
    <t>3M</t>
  </si>
  <si>
    <t>https://karmax.mx/wp-content/uploads/2026/01/PLUMERO-IXTLE.png</t>
  </si>
  <si>
    <t>REV-PLU-PLU-3M</t>
  </si>
  <si>
    <t>Plumero de pluma</t>
  </si>
  <si>
    <t>https://karmax.mx/wp-content/uploads/2026/01/PLUMERO-PLUMA.png</t>
  </si>
  <si>
    <t>REV-REC-CEJ-PZA</t>
  </si>
  <si>
    <t>Recogedor ceja La Reynera</t>
  </si>
  <si>
    <t>https://karmax.mx/wp-content/uploads/2026/01/recogedor-ceja-reynera.png | https://karmax.mx/wp-content/uploads/2026/01/recogedor-ceja-rey.png</t>
  </si>
  <si>
    <t>REV-CUB-REP-PZA</t>
  </si>
  <si>
    <t>Repuesto para cubeta giratoria La Reynera</t>
  </si>
  <si>
    <t>Repuesto para el sistema de cubeta giratoria La Reynera.</t>
  </si>
  <si>
    <t>Repuesto para el sistema de cubeta giratoria La Reynera. Verificar compatibilidad con el modelo correspondiente.</t>
  </si>
  <si>
    <t>REV-MOP-REP-40CM</t>
  </si>
  <si>
    <t>Repuesto de mop La Reynera</t>
  </si>
  <si>
    <t>Repuesto de funda de microfibra para mop La Reynera con armazón de 40 cm.</t>
  </si>
  <si>
    <t>REV-TRA-REY-PZA</t>
  </si>
  <si>
    <t>Trapeador Magitel La Reynera</t>
  </si>
  <si>
    <t>https://karmax.mx/wp-content/uploads/2026/01/trapeador-magitel-reynera.png</t>
  </si>
  <si>
    <t>REV-TRA-MAG-PZA</t>
  </si>
  <si>
    <t>Trapeador Magitel resistente chico</t>
  </si>
  <si>
    <t>https://karmax.mx/wp-content/uploads/2026/01/trapeador-magitel-resistente.png</t>
  </si>
  <si>
    <t>REV-TRA-600G-PZA</t>
  </si>
  <si>
    <t>Trapeador color suave tradicional grande</t>
  </si>
  <si>
    <t>https://karmax.mx/wp-content/uploads/2026/01/trapeador-color-suave-trad.png</t>
  </si>
  <si>
    <t>REV-TRA-500G-PZA</t>
  </si>
  <si>
    <t>Trapeador color suave tradicional mediano</t>
  </si>
  <si>
    <t>REV-TRA-GIR-PZA</t>
  </si>
  <si>
    <t>Trapeador giratorio La Reynera</t>
  </si>
  <si>
    <t>https://karmax.mx/wp-content/uploads/2026/01/trapeador-giratorio-reynera.png</t>
  </si>
  <si>
    <t>REV-BOL-70X90-KG</t>
  </si>
  <si>
    <t>Bolsa para basura gruesa</t>
  </si>
  <si>
    <t>KG</t>
  </si>
  <si>
    <t>Bolsa gruesa para recolección de residuos en operaciones comerciales e institucionales.</t>
  </si>
  <si>
    <t>Bolsa gruesa para recolección de residuos en operaciones comerciales e institucionales. Adecuada para aplicaciones que requieren mayor resistencia.</t>
  </si>
  <si>
    <t>REV-BOL-90X120-KG</t>
  </si>
  <si>
    <t>REV-BOL-102X122-CJ10X25</t>
  </si>
  <si>
    <t>Bolsa para basura en rollo</t>
  </si>
  <si>
    <t>CJ10X25</t>
  </si>
  <si>
    <t>https://karmax.mx/wp-content/uploads/2026/01/rollo-bolsas.png</t>
  </si>
  <si>
    <t>Bolsa para basura en rollo para recolección y manejo cotidiano de residuos.</t>
  </si>
  <si>
    <t>Bolsa para basura en rollo para recolección y manejo cotidiano de residuos. Disponible en distintas medidas y configuraciones por caja.</t>
  </si>
  <si>
    <t>REV-BOL-60X60-CJ20X50</t>
  </si>
  <si>
    <t>CJ20X50</t>
  </si>
  <si>
    <t>REV-BOL-76X94-CJ20X25</t>
  </si>
  <si>
    <t>CJ20X25</t>
  </si>
  <si>
    <t>REV-CES-BAL-CHI-PZA</t>
  </si>
  <si>
    <t>Cesto balancín</t>
  </si>
  <si>
    <t>https://karmax.mx/wp-content/uploads/2026/01/cesto-balancin-1.png</t>
  </si>
  <si>
    <t>Cesto con tapa balancín para manejo de residuos en baños, oficinas, comercios y áreas comunes.</t>
  </si>
  <si>
    <t>Cesto con tapa balancín para manejo de residuos en baños, oficinas, comercios y áreas comunes. Disponible en distintas capacidades.</t>
  </si>
  <si>
    <t>REV-CES-BAL-GDE-PZA</t>
  </si>
  <si>
    <t>REV-CES-BAL-JUM-PZA</t>
  </si>
  <si>
    <t>REV-CES-BAL-MED-PZA</t>
  </si>
  <si>
    <t>REV-BOL-25X40-5KG</t>
  </si>
  <si>
    <t>Bolsa camiseta</t>
  </si>
  <si>
    <t>5KG</t>
  </si>
  <si>
    <t>https://karmax.mx/wp-content/uploads/2026/01/ChatGPT-Image-27-ene-2026-16_25_33.png</t>
  </si>
  <si>
    <t>Bolsa tipo camiseta para empaque y manejo de residuos ligeros en comercios, restaurantes y áreas de servicio.</t>
  </si>
  <si>
    <t>Bolsa tipo camiseta para empaque y manejo de residuos ligeros en comercios, restaurantes y áreas de servicio. Disponible en distintas medidas.</t>
  </si>
  <si>
    <t>REV-BOL-25X50-5KG</t>
  </si>
  <si>
    <t>REV-BOL-30X60-5KG</t>
  </si>
  <si>
    <t>REV-CES-PAP-CHI-PZA</t>
  </si>
  <si>
    <t>Cesto papelero</t>
  </si>
  <si>
    <t>https://karmax.mx/wp-content/uploads/2026/01/cesto-papelero-2.png</t>
  </si>
  <si>
    <t>Cesto papelero para manejo de residuos ligeros en oficinas, baños y áreas comunes.</t>
  </si>
  <si>
    <t>Cesto papelero para manejo de residuos ligeros en oficinas, baños y áreas comunes. Disponible en distintas capacidades.</t>
  </si>
  <si>
    <t>REV-CES-PAP-GDE-PZA</t>
  </si>
  <si>
    <t>REV-CES-PAP-JUM-PZA</t>
  </si>
  <si>
    <t>REV-CES-PAP-MED-PZA</t>
  </si>
  <si>
    <t>REV-CES-TAM-200L-PZA</t>
  </si>
  <si>
    <t>Tambo para basura</t>
  </si>
  <si>
    <t>https://karmax.mx/wp-content/uploads/2026/01/tambo.png</t>
  </si>
  <si>
    <t>Tambo plástico para recolección y almacenamiento temporal de residuos en áreas de servicio, operación y mantenimiento.</t>
  </si>
  <si>
    <t>REV-PAP-JUM-CJ6</t>
  </si>
  <si>
    <t>Papel higiénico para dispensador jumbo</t>
  </si>
  <si>
    <t>CJ6</t>
  </si>
  <si>
    <t>https://karmax.mx/wp-content/uploads/2026/01/papel-higienico.png</t>
  </si>
  <si>
    <t>Papel higiénico para dispensador jumbo, orientado a baños de alto tránsito y consumo recurrente.</t>
  </si>
  <si>
    <t>REV-PAP-JR-CJ12</t>
  </si>
  <si>
    <t>Papel higiénico para dispensador JR</t>
  </si>
  <si>
    <t>CJ12</t>
  </si>
  <si>
    <t>Papel higiénico para dispensador JR, orientado a baños de uso comercial e institucional.</t>
  </si>
  <si>
    <t>REV-PAP-INT-CJ20</t>
  </si>
  <si>
    <t>Papel toalla interdoblada para dispensador</t>
  </si>
  <si>
    <t>https://karmax.mx/wp-content/uploads/2026/01/toallas-interdobladas.png</t>
  </si>
  <si>
    <t>Toalla de papel interdoblada para secado de manos en dispensadores compatibles.</t>
  </si>
  <si>
    <t>Toalla de papel interdoblada para secado de manos en dispensadores compatibles. Adecuada para baños y áreas de higiene de manos.</t>
  </si>
  <si>
    <t>REV-PAP-ROL-CJ6</t>
  </si>
  <si>
    <t>Papel toalla en rollo para dispensador</t>
  </si>
  <si>
    <t>https://karmax.mx/wp-content/uploads/2026/01/toalla-en-rollo.png</t>
  </si>
  <si>
    <t>Toalla de papel en rollo para dispensadores compatibles.</t>
  </si>
  <si>
    <t>Toalla de papel en rollo para dispensadores compatibles. Adecuada para baños y áreas de higiene de manos con consumo recurrente.</t>
  </si>
  <si>
    <t>REV-PAP-CAS-P40</t>
  </si>
  <si>
    <t>Papel higiénico tipo casa</t>
  </si>
  <si>
    <t>P40</t>
  </si>
  <si>
    <t>https://karmax.mx/wp-content/uploads/2026/01/papel-higienico-1.png</t>
  </si>
  <si>
    <t>Papel higiénico en formato convencional para baños y áreas de servicio.</t>
  </si>
  <si>
    <t>REV-GUA-LAT-PAR</t>
  </si>
  <si>
    <t>Guantes de látex</t>
  </si>
  <si>
    <t>PAR</t>
  </si>
  <si>
    <t>https://karmax.mx/wp-content/uploads/2026/01/GUANTES-LATEX.png</t>
  </si>
  <si>
    <t>Guantes de látex para tareas de limpieza y protección de manos en aplicaciones compatibles.</t>
  </si>
  <si>
    <t>Guantes de látex para tareas de limpieza y protección de manos en aplicaciones compatibles. Seleccionar talla y uso conforme a las necesidades de la operación.</t>
  </si>
  <si>
    <t>REV-SEG-STD-PZA</t>
  </si>
  <si>
    <t>Señalamiento de seguridad</t>
  </si>
  <si>
    <t>https://karmax.mx/wp-content/uploads/2026/01/senalamientos.png</t>
  </si>
  <si>
    <t>Señalamiento plegable de plástico resistente y alta visibilidad para advertir riesgos y delimitar áreas.</t>
  </si>
  <si>
    <t>Señalamiento plegable de plástico resistente y alta visibilidad para advertir riesgos y delimitar áreas. Cuenta con mensajes en español e inglés y está diseñado para uso interior o exterior.</t>
  </si>
  <si>
    <t>REV-EPP-COF-CJ10X100</t>
  </si>
  <si>
    <t>Cofia plisada 21 pulgadas</t>
  </si>
  <si>
    <t>CJ10X100</t>
  </si>
  <si>
    <t>Cofia desechable para cubrir el cabello en áreas donde se requiere control básico de higiene y contaminación.</t>
  </si>
  <si>
    <t>REV-GUA-NIT-CJ10X100</t>
  </si>
  <si>
    <t>Guante de nitrilo</t>
  </si>
  <si>
    <t>https://karmax.mx/wp-content/uploads/2026/02/guantes-nitrilo.png</t>
  </si>
  <si>
    <t>Guantes de nitrilo para tareas de limpieza y protección de manos en aplicaciones compatibles.</t>
  </si>
  <si>
    <t>Guantes de nitrilo para tareas de limpieza y protección de manos en aplicaciones compatibles. Seleccionar talla y uso conforme a las necesidades de la operación.</t>
  </si>
  <si>
    <t>REV-DIS-ARO-PZA</t>
  </si>
  <si>
    <t>Dispensador de aromatizante</t>
  </si>
  <si>
    <t>https://karmax.mx/wp-content/uploads/2026/01/dispensador-wiese.png</t>
  </si>
  <si>
    <t>Dispensador automático para repuestos de aromatizante ambiental.</t>
  </si>
  <si>
    <t>Dispensador automático para repuestos de aromatizante ambiental. Adecuado para baños, oficinas y otras áreas interiores.</t>
  </si>
  <si>
    <t>REV-DIS-JR-PZA</t>
  </si>
  <si>
    <t>Despachador JR</t>
  </si>
  <si>
    <t>https://karmax.mx/wp-content/uploads/2026/01/despachador-jr.png | https://karmax.mx/wp-content/uploads/2026/01/despachador-jr2.png | https://karmax.mx/wp-content/uploads/2026/01/despachador-jr3.png</t>
  </si>
  <si>
    <t>Dispensador para papel higiénico en formato JR, diseñado para baños de uso comercial e institucional.</t>
  </si>
  <si>
    <t>REV-DIS-JES-750ML</t>
  </si>
  <si>
    <t>Despachador jabón espumero</t>
  </si>
  <si>
    <t>https://karmax.mx/wp-content/uploads/2026/01/despachador-750.png | https://karmax.mx/wp-content/uploads/2026/01/despachador750.png | https://karmax.mx/wp-content/uploads/2026/01/despachador.png</t>
  </si>
  <si>
    <t>Dispensador para jabón en espuma, diseñado para baños y áreas de higiene de manos en espacios comerciales e institucionales.</t>
  </si>
  <si>
    <t>REV-DIS-JLI-1L</t>
  </si>
  <si>
    <t>Despachador jabón líquido</t>
  </si>
  <si>
    <t>https://karmax.mx/wp-content/uploads/2026/01/despachador-1-lt.png | https://karmax.mx/wp-content/uploads/2026/01/dispensador-jabon-liq.png | https://karmax.mx/wp-content/uploads/2026/01/dispensador-jabon-liq-1.png</t>
  </si>
  <si>
    <t>Dispensador para jabón líquido, diseñado para baños y áreas de higiene de manos en espacios comerciales e institucionales.</t>
  </si>
  <si>
    <t>REV-DIS-JUM-PZA</t>
  </si>
  <si>
    <t>Despachador jumbo</t>
  </si>
  <si>
    <t>https://karmax.mx/wp-content/uploads/2026/01/DESPACHADOR-JUMBO.png | https://karmax.mx/wp-content/uploads/2026/01/DESPACHADOR-JUMBO2.png</t>
  </si>
  <si>
    <t>Dispensador para papel higiénico en formato jumbo, diseñado para baños de alto tránsito.</t>
  </si>
  <si>
    <t>REV-DIS-ROL-PZA</t>
  </si>
  <si>
    <t>Despachador toalla en rollo</t>
  </si>
  <si>
    <t>https://karmax.mx/wp-content/uploads/2026/01/despachador-toalla-papel.png | https://karmax.mx/wp-content/uploads/2026/01/despachador-to.png</t>
  </si>
  <si>
    <t>Dispensador para toalla de papel en rollo.</t>
  </si>
  <si>
    <t>Dispensador para toalla de papel en rollo. Adecuado para baños y áreas de lavado de manos con consumo recurrente.</t>
  </si>
  <si>
    <t>REV-DIS-INT-PZA</t>
  </si>
  <si>
    <t>Despachador toalla interdoblada</t>
  </si>
  <si>
    <t>https://karmax.mx/wp-content/uploads/2026/01/despachador-toalla.png | https://karmax.mx/wp-content/uploads/2026/01/despachador-toalla1.png</t>
  </si>
  <si>
    <t>Dispensador para toalla de papel interdoblada.</t>
  </si>
  <si>
    <t>Dispensador para toalla de papel interdoblada. Adecuado para baños, oficinas, restaurantes, hoteles y otras instalaciones de uso frecuente.</t>
  </si>
  <si>
    <t>REV-VEN-SAN-PZA</t>
  </si>
  <si>
    <t>Jeringa cucaracha Sangha gel</t>
  </si>
  <si>
    <t>Sangha</t>
  </si>
  <si>
    <t>https://karmax.mx/wp-content/uploads/2026/01/jeringa-cucarachas.png</t>
  </si>
  <si>
    <t>Cebo en gel para control de cucarachas en interiores.</t>
  </si>
  <si>
    <t>Cebo en gel para control de cucarachas en interiores. Aplicar conforme a las instrucciones y precauciones indicadas por el fabricante.</t>
  </si>
  <si>
    <t>REV-VEN-CRE-80G</t>
  </si>
  <si>
    <t>Veneno Cannibal crema</t>
  </si>
  <si>
    <t>Cannibal</t>
  </si>
  <si>
    <t>80G</t>
  </si>
  <si>
    <t>https://karmax.mx/wp-content/uploads/2026/01/veneno-cannibal-2.png | https://karmax.mx/wp-content/uploads/2026/01/cannibal-polvo.png | https://karmax.mx/wp-content/uploads/2026/01/crema-cannibal.png</t>
  </si>
  <si>
    <t>Producto para control de cucarachas.</t>
  </si>
  <si>
    <t>Producto para control de cucarachas. Utilizar únicamente conforme a la etiqueta, instrucciones y precauciones del fabricante.</t>
  </si>
  <si>
    <t>REV-VEN-POL-80G</t>
  </si>
  <si>
    <t>Veneno Cannibal polvo</t>
  </si>
  <si>
    <t>REV-VEN-RATX-PZA</t>
  </si>
  <si>
    <t>Veneno Ratox pasta</t>
  </si>
  <si>
    <t>Ratox</t>
  </si>
  <si>
    <t>https://karmax.mx/wp-content/uploads/2026/01/ratox-1.png</t>
  </si>
  <si>
    <t>Rodenticida para control de roedores.</t>
  </si>
  <si>
    <t>Rodenticida para control de roedores. Utilizar conforme a las instrucciones, restricciones y precauciones indicadas por el fabricante.</t>
  </si>
  <si>
    <t>REV-VEN-HOR-180G</t>
  </si>
  <si>
    <t>Veneno para hormiga Presto</t>
  </si>
  <si>
    <t>Presto</t>
  </si>
  <si>
    <t>https://karmax.mx/wp-content/uploads/2026/01/presto-hormigas-1.png</t>
  </si>
  <si>
    <t>Insecticida para control de hormigas.</t>
  </si>
  <si>
    <t>Insecticida para control de hormigas. Utilizar conforme a las instrucciones y precauciones indicadas por el fabricante.</t>
  </si>
  <si>
    <t>REV-VEN-RAT-250G</t>
  </si>
  <si>
    <t>Veneno para ratones</t>
  </si>
  <si>
    <t>250G</t>
  </si>
  <si>
    <t>https://karmax.mx/wp-content/uploads/2026/01/veneno-para-ratones.png</t>
  </si>
  <si>
    <t>REV-VEN-MOS-CJ12</t>
  </si>
  <si>
    <t>Veneno pegamoscas</t>
  </si>
  <si>
    <t>https://karmax.mx/wp-content/uploads/2026/01/veneno-pegamoscas.png</t>
  </si>
  <si>
    <t>Producto para control de moscas en áreas donde su uso sea adecuado.</t>
  </si>
  <si>
    <t>Producto para control de moscas en áreas donde su uso sea adecuado. Seguir las instrucciones del fabricante para colocación y manejo.</t>
  </si>
  <si>
    <t>REV-PET-BEB-PZA</t>
  </si>
  <si>
    <t>Bebedero pets La Reynera</t>
  </si>
  <si>
    <t>https://karmax.mx/wp-content/uploads/2026/01/bebedero-pets-reynera.png</t>
  </si>
  <si>
    <t>Bebedero para mascotas, adecuado para espacios pet friendly, oficinas y establecimientos que ofrecen agua a mascotas.</t>
  </si>
  <si>
    <t>REV-PET-BOL-CJ4X15</t>
  </si>
  <si>
    <t>Bolsa pets La Reynera</t>
  </si>
  <si>
    <t>CJ4X15</t>
  </si>
  <si>
    <t>https://karmax.mx/wp-content/uploads/2026/01/bolsas-pets-reynera.png | https://karmax.mx/wp-content/uploads/2026/01/bolsa-pets.png</t>
  </si>
  <si>
    <t>Bolsas para recolección de residuos de mascotas durante paseos o limpieza de áreas pet friendly.</t>
  </si>
  <si>
    <t>REV-PET-CEP-PZA</t>
  </si>
  <si>
    <t>Cepillo para mascotas La Reynera</t>
  </si>
  <si>
    <t>https://karmax.mx/wp-content/uploads/2026/01/cepillo-dispensador.png</t>
  </si>
  <si>
    <t>Cepillo La Reynera con dispensador integrado de shampoo para facilitar el baño y cepillado de mascotas.</t>
  </si>
  <si>
    <t>Cepillo La Reynera con dispensador integrado de shampoo para facilitar el baño y cepillado de mascotas. Capacidad de 80 ml.</t>
  </si>
  <si>
    <t>REV-PET-RPT-PZA</t>
  </si>
  <si>
    <t>Rodillo pets quita pelusa La Reynera</t>
  </si>
  <si>
    <t>https://karmax.mx/wp-content/uploads/2026/01/quitapelusa.png | https://karmax.mx/wp-content/uploads/2026/01/rodillo-quita-pelusa.png</t>
  </si>
  <si>
    <t>Rodillo adhesivo para retirar pelo, pelusa y fibras de ropa, muebles y otras superficies textiles.</t>
  </si>
  <si>
    <t>REV-PET-ROL-PZA</t>
  </si>
  <si>
    <t>Rodillo quita pelusa La Reynera</t>
  </si>
  <si>
    <t>https://karmax.mx/wp-content/uploads/2026/01/RODILLO-QUITA-PELUSA-1.png</t>
  </si>
  <si>
    <t>REV-PET-TOA-70X140</t>
  </si>
  <si>
    <t>Toalla pets La Reynera</t>
  </si>
  <si>
    <t>70X140</t>
  </si>
  <si>
    <t>https://karmax.mx/wp-content/uploads/2026/01/TOALLA-PETS.png</t>
  </si>
  <si>
    <t>Toalla para secado y cuidado de mascotas después del baño o limpieza.</t>
  </si>
  <si>
    <t>REV-PET-HUM-PAQ</t>
  </si>
  <si>
    <t>Toallitas húmedas La Reynera</t>
  </si>
  <si>
    <t>PAQ</t>
  </si>
  <si>
    <t>https://karmax.mx/wp-content/uploads/2026/01/toallitas-humedas-para-mascotas.png</t>
  </si>
  <si>
    <t>Toallitas húmedas para limpieza práctica de mascotas.</t>
  </si>
  <si>
    <t>Toallitas húmedas para limpieza práctica de mascotas. Utilizar conforme a las instrucciones del fabricante.</t>
  </si>
  <si>
    <t>Precio Neto</t>
  </si>
  <si>
    <t>Atributo Aroma</t>
  </si>
  <si>
    <t>Atributo Presentación</t>
  </si>
  <si>
    <t>sku</t>
  </si>
  <si>
    <t>category_id</t>
  </si>
  <si>
    <t>name</t>
  </si>
  <si>
    <t>brand</t>
  </si>
  <si>
    <t>regular_price</t>
  </si>
  <si>
    <t>short_description</t>
  </si>
  <si>
    <t>description</t>
  </si>
  <si>
    <t>galery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</si>
</sst>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4">
    <font>
      <sz val="11"/>
      <color rgb="FF000000"/>
      <name val="Carlito"/>
      <scheme val="minor"/>
    </font>
    <font>
      <sz val="16"/>
      <color theme="1"/>
      <name val="Carlito (Body)"/>
    </font>
    <font>
      <sz val="16"/>
      <color rgb="FF000000"/>
      <name val="Carlito (Body)"/>
    </font>
    <font>
      <sz val="16"/>
      <color rgb="FFFFFFFF"/>
      <name val="Carlito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9" fontId="2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6"/>
        <name val="Carlito (Body)"/>
      </font>
      <numFmt numFmtId="164" formatCode="\$#,##0.00"/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font>
        <strike val="0"/>
        <outline val="0"/>
        <shadow val="0"/>
        <u val="none"/>
        <vertAlign val="baseline"/>
        <sz val="16"/>
        <name val="Carlito (Body)"/>
      </font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08 Handoff Diseño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07 Orden PDF sugerido-style" pivot="0" count="4" xr9:uid="{00000000-0011-0000-FFFF-FFFF01000000}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signerHandoffTable" displayName="DesignerHandoffTable" ref="A1:K237" headerRowDxfId="13" dataDxfId="12" totalsRowDxfId="11">
  <tableColumns count="11">
    <tableColumn id="1" xr3:uid="{00000000-0010-0000-0100-000001000000}" name="sku" dataDxfId="10"/>
    <tableColumn id="3" xr3:uid="{00000000-0010-0000-0100-000003000000}" name="category_id" dataDxfId="9"/>
    <tableColumn id="4" xr3:uid="{00000000-0010-0000-0100-000004000000}" name="name" dataDxfId="8"/>
    <tableColumn id="5" xr3:uid="{00000000-0010-0000-0100-000005000000}" name="brand" dataDxfId="7"/>
    <tableColumn id="6" xr3:uid="{00000000-0010-0000-0100-000006000000}" name="Atributo Aroma" dataDxfId="6"/>
    <tableColumn id="8" xr3:uid="{00000000-0010-0000-0100-000008000000}" name="Atributo Presentación" dataDxfId="5"/>
    <tableColumn id="11" xr3:uid="{00000000-0010-0000-0100-00000B000000}" name="Precio Neto" dataDxfId="4"/>
    <tableColumn id="12" xr3:uid="{00000000-0010-0000-0100-00000C000000}" name="regular_price" dataDxfId="0">
      <calculatedColumnFormula>IF(G2="","",G2/(1-$M$1))</calculatedColumnFormula>
    </tableColumn>
    <tableColumn id="16" xr3:uid="{00000000-0010-0000-0100-000010000000}" name="galery" dataDxfId="3"/>
    <tableColumn id="17" xr3:uid="{00000000-0010-0000-0100-000011000000}" name="short_description" dataDxfId="2"/>
    <tableColumn id="18" xr3:uid="{00000000-0010-0000-0100-000012000000}" name="description" dataDxfId="1"/>
  </tableColumns>
  <tableStyleInfo name="08 Handoff Diseñ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7"/>
  <sheetViews>
    <sheetView showGridLines="0" tabSelected="1" workbookViewId="0">
      <pane xSplit="5" ySplit="1" topLeftCell="F2" activePane="bottomRight" state="frozen"/>
      <selection pane="topRight" activeCell="G1" sqref="G1"/>
      <selection pane="bottomLeft" activeCell="A5" sqref="A5"/>
      <selection pane="bottomRight" activeCell="C11" sqref="C11"/>
    </sheetView>
  </sheetViews>
  <sheetFormatPr baseColWidth="10" defaultColWidth="12.6640625" defaultRowHeight="25" customHeight="1"/>
  <cols>
    <col min="1" max="1" width="37.83203125" style="1" bestFit="1" customWidth="1"/>
    <col min="2" max="2" width="41.83203125" style="1" bestFit="1" customWidth="1"/>
    <col min="3" max="3" width="54.1640625" style="1" bestFit="1" customWidth="1"/>
    <col min="4" max="4" width="15.33203125" style="1" bestFit="1" customWidth="1"/>
    <col min="5" max="5" width="21.1640625" style="1" bestFit="1" customWidth="1"/>
    <col min="6" max="6" width="29.83203125" style="1" customWidth="1"/>
    <col min="7" max="7" width="26.6640625" style="1" bestFit="1" customWidth="1"/>
    <col min="8" max="8" width="33.1640625" style="1" bestFit="1" customWidth="1"/>
    <col min="9" max="9" width="255.83203125" style="1" bestFit="1" customWidth="1"/>
    <col min="10" max="10" width="168.83203125" style="1" bestFit="1" customWidth="1"/>
    <col min="11" max="11" width="255.83203125" style="1" bestFit="1" customWidth="1"/>
    <col min="12" max="12" width="34.5" style="1" bestFit="1" customWidth="1"/>
    <col min="13" max="13" width="7.83203125" style="1" bestFit="1" customWidth="1"/>
    <col min="14" max="14" width="22.1640625" style="1" customWidth="1"/>
    <col min="15" max="16384" width="12.6640625" style="1"/>
  </cols>
  <sheetData>
    <row r="1" spans="1:13" ht="25" customHeight="1">
      <c r="A1" s="2" t="s">
        <v>736</v>
      </c>
      <c r="B1" s="2" t="s">
        <v>737</v>
      </c>
      <c r="C1" s="2" t="s">
        <v>738</v>
      </c>
      <c r="D1" s="2" t="s">
        <v>739</v>
      </c>
      <c r="E1" s="2" t="s">
        <v>734</v>
      </c>
      <c r="F1" s="2" t="s">
        <v>735</v>
      </c>
      <c r="G1" s="2" t="s">
        <v>733</v>
      </c>
      <c r="H1" s="2" t="s">
        <v>740</v>
      </c>
      <c r="I1" s="2" t="s">
        <v>743</v>
      </c>
      <c r="J1" s="2" t="s">
        <v>741</v>
      </c>
      <c r="K1" s="2" t="s">
        <v>742</v>
      </c>
      <c r="M1" s="5">
        <v>0.1</v>
      </c>
    </row>
    <row r="2" spans="1:13" ht="25" customHeight="1">
      <c r="A2" s="3" t="s">
        <v>0</v>
      </c>
      <c r="B2" s="3">
        <v>1</v>
      </c>
      <c r="C2" s="3" t="s">
        <v>1</v>
      </c>
      <c r="D2" s="3" t="s">
        <v>2</v>
      </c>
      <c r="E2" s="3" t="s">
        <v>3</v>
      </c>
      <c r="F2" s="3" t="s">
        <v>4</v>
      </c>
      <c r="G2" s="4">
        <v>23.4</v>
      </c>
      <c r="H2" s="4">
        <f t="shared" ref="H2:H65" si="0">IF(G2="","",G2/(1-$M$1))</f>
        <v>25.999999999999996</v>
      </c>
      <c r="I2" s="3" t="s">
        <v>5</v>
      </c>
      <c r="J2" s="3" t="s">
        <v>6</v>
      </c>
      <c r="K2" s="3" t="s">
        <v>7</v>
      </c>
    </row>
    <row r="3" spans="1:13" ht="25" customHeight="1">
      <c r="A3" s="3" t="s">
        <v>8</v>
      </c>
      <c r="B3" s="3">
        <v>1</v>
      </c>
      <c r="C3" s="3" t="s">
        <v>1</v>
      </c>
      <c r="D3" s="3" t="s">
        <v>2</v>
      </c>
      <c r="E3" s="3" t="s">
        <v>3</v>
      </c>
      <c r="F3" s="3" t="s">
        <v>9</v>
      </c>
      <c r="G3" s="4">
        <v>63</v>
      </c>
      <c r="H3" s="4">
        <f t="shared" si="0"/>
        <v>70</v>
      </c>
      <c r="I3" s="3" t="s">
        <v>5</v>
      </c>
      <c r="J3" s="3" t="s">
        <v>6</v>
      </c>
      <c r="K3" s="3" t="s">
        <v>7</v>
      </c>
    </row>
    <row r="4" spans="1:13" ht="25" customHeight="1">
      <c r="A4" s="3" t="s">
        <v>10</v>
      </c>
      <c r="B4" s="3">
        <v>1</v>
      </c>
      <c r="C4" s="3" t="s">
        <v>1</v>
      </c>
      <c r="D4" s="3" t="s">
        <v>2</v>
      </c>
      <c r="E4" s="3" t="s">
        <v>3</v>
      </c>
      <c r="F4" s="3" t="s">
        <v>11</v>
      </c>
      <c r="G4" s="4">
        <v>152.1</v>
      </c>
      <c r="H4" s="4">
        <f t="shared" si="0"/>
        <v>169</v>
      </c>
      <c r="I4" s="3" t="s">
        <v>5</v>
      </c>
      <c r="J4" s="3" t="s">
        <v>6</v>
      </c>
      <c r="K4" s="3" t="s">
        <v>7</v>
      </c>
    </row>
    <row r="5" spans="1:13" ht="25" customHeight="1">
      <c r="A5" s="3" t="s">
        <v>12</v>
      </c>
      <c r="B5" s="3">
        <v>1</v>
      </c>
      <c r="C5" s="3" t="s">
        <v>1</v>
      </c>
      <c r="D5" s="3" t="s">
        <v>2</v>
      </c>
      <c r="E5" s="3" t="s">
        <v>3</v>
      </c>
      <c r="F5" s="3" t="s">
        <v>13</v>
      </c>
      <c r="G5" s="4">
        <v>287.10000000000002</v>
      </c>
      <c r="H5" s="4">
        <f t="shared" si="0"/>
        <v>319</v>
      </c>
      <c r="I5" s="3" t="s">
        <v>5</v>
      </c>
      <c r="J5" s="3" t="s">
        <v>6</v>
      </c>
      <c r="K5" s="3" t="s">
        <v>7</v>
      </c>
    </row>
    <row r="6" spans="1:13" ht="25" customHeight="1">
      <c r="A6" s="3" t="s">
        <v>14</v>
      </c>
      <c r="B6" s="3">
        <v>1</v>
      </c>
      <c r="C6" s="3" t="s">
        <v>1</v>
      </c>
      <c r="D6" s="3" t="s">
        <v>2</v>
      </c>
      <c r="E6" s="3" t="s">
        <v>15</v>
      </c>
      <c r="F6" s="3" t="s">
        <v>4</v>
      </c>
      <c r="G6" s="4">
        <v>23.4</v>
      </c>
      <c r="H6" s="4">
        <f t="shared" si="0"/>
        <v>25.999999999999996</v>
      </c>
      <c r="J6" s="3" t="s">
        <v>6</v>
      </c>
      <c r="K6" s="3" t="s">
        <v>7</v>
      </c>
    </row>
    <row r="7" spans="1:13" ht="25" customHeight="1">
      <c r="A7" s="3" t="s">
        <v>16</v>
      </c>
      <c r="B7" s="3">
        <v>1</v>
      </c>
      <c r="C7" s="3" t="s">
        <v>1</v>
      </c>
      <c r="D7" s="3" t="s">
        <v>2</v>
      </c>
      <c r="E7" s="3" t="s">
        <v>15</v>
      </c>
      <c r="F7" s="3" t="s">
        <v>9</v>
      </c>
      <c r="G7" s="4">
        <v>63</v>
      </c>
      <c r="H7" s="4">
        <f t="shared" si="0"/>
        <v>70</v>
      </c>
      <c r="J7" s="3" t="s">
        <v>6</v>
      </c>
      <c r="K7" s="3" t="s">
        <v>7</v>
      </c>
    </row>
    <row r="8" spans="1:13" ht="25" customHeight="1">
      <c r="A8" s="3" t="s">
        <v>17</v>
      </c>
      <c r="B8" s="3">
        <v>1</v>
      </c>
      <c r="C8" s="3" t="s">
        <v>1</v>
      </c>
      <c r="D8" s="3" t="s">
        <v>2</v>
      </c>
      <c r="E8" s="3" t="s">
        <v>15</v>
      </c>
      <c r="F8" s="3" t="s">
        <v>11</v>
      </c>
      <c r="G8" s="4">
        <v>152.1</v>
      </c>
      <c r="H8" s="4">
        <f t="shared" si="0"/>
        <v>169</v>
      </c>
      <c r="J8" s="3" t="s">
        <v>6</v>
      </c>
      <c r="K8" s="3" t="s">
        <v>7</v>
      </c>
    </row>
    <row r="9" spans="1:13" ht="25" customHeight="1">
      <c r="A9" s="3" t="s">
        <v>18</v>
      </c>
      <c r="B9" s="3">
        <v>1</v>
      </c>
      <c r="C9" s="3" t="s">
        <v>1</v>
      </c>
      <c r="D9" s="3" t="s">
        <v>2</v>
      </c>
      <c r="E9" s="3" t="s">
        <v>15</v>
      </c>
      <c r="F9" s="3" t="s">
        <v>13</v>
      </c>
      <c r="G9" s="4">
        <v>287.10000000000002</v>
      </c>
      <c r="H9" s="4">
        <f t="shared" si="0"/>
        <v>319</v>
      </c>
      <c r="J9" s="3" t="s">
        <v>6</v>
      </c>
      <c r="K9" s="3" t="s">
        <v>7</v>
      </c>
    </row>
    <row r="10" spans="1:13" ht="25" customHeight="1">
      <c r="A10" s="3" t="s">
        <v>19</v>
      </c>
      <c r="B10" s="3">
        <v>1</v>
      </c>
      <c r="C10" s="3" t="s">
        <v>1</v>
      </c>
      <c r="D10" s="3" t="s">
        <v>2</v>
      </c>
      <c r="E10" s="3" t="s">
        <v>20</v>
      </c>
      <c r="F10" s="3" t="s">
        <v>4</v>
      </c>
      <c r="G10" s="4">
        <v>23.4</v>
      </c>
      <c r="H10" s="4">
        <f t="shared" si="0"/>
        <v>25.999999999999996</v>
      </c>
      <c r="J10" s="3" t="s">
        <v>6</v>
      </c>
      <c r="K10" s="3" t="s">
        <v>7</v>
      </c>
    </row>
    <row r="11" spans="1:13" ht="25" customHeight="1">
      <c r="A11" s="3" t="s">
        <v>21</v>
      </c>
      <c r="B11" s="3">
        <v>1</v>
      </c>
      <c r="C11" s="3" t="s">
        <v>1</v>
      </c>
      <c r="D11" s="3" t="s">
        <v>2</v>
      </c>
      <c r="E11" s="3" t="s">
        <v>20</v>
      </c>
      <c r="F11" s="3" t="s">
        <v>9</v>
      </c>
      <c r="G11" s="4">
        <v>63</v>
      </c>
      <c r="H11" s="4">
        <f t="shared" si="0"/>
        <v>70</v>
      </c>
      <c r="J11" s="3" t="s">
        <v>6</v>
      </c>
      <c r="K11" s="3" t="s">
        <v>7</v>
      </c>
    </row>
    <row r="12" spans="1:13" ht="25" customHeight="1">
      <c r="A12" s="3" t="s">
        <v>22</v>
      </c>
      <c r="B12" s="3">
        <v>1</v>
      </c>
      <c r="C12" s="3" t="s">
        <v>1</v>
      </c>
      <c r="D12" s="3" t="s">
        <v>2</v>
      </c>
      <c r="E12" s="3" t="s">
        <v>20</v>
      </c>
      <c r="F12" s="3" t="s">
        <v>11</v>
      </c>
      <c r="G12" s="4">
        <v>152.1</v>
      </c>
      <c r="H12" s="4">
        <f t="shared" si="0"/>
        <v>169</v>
      </c>
      <c r="J12" s="3" t="s">
        <v>6</v>
      </c>
      <c r="K12" s="3" t="s">
        <v>7</v>
      </c>
    </row>
    <row r="13" spans="1:13" ht="25" customHeight="1">
      <c r="A13" s="3" t="s">
        <v>23</v>
      </c>
      <c r="B13" s="3">
        <v>1</v>
      </c>
      <c r="C13" s="3" t="s">
        <v>1</v>
      </c>
      <c r="D13" s="3" t="s">
        <v>2</v>
      </c>
      <c r="E13" s="3" t="s">
        <v>20</v>
      </c>
      <c r="F13" s="3" t="s">
        <v>13</v>
      </c>
      <c r="G13" s="4">
        <v>287.10000000000002</v>
      </c>
      <c r="H13" s="4">
        <f t="shared" si="0"/>
        <v>319</v>
      </c>
      <c r="J13" s="3" t="s">
        <v>6</v>
      </c>
      <c r="K13" s="3" t="s">
        <v>7</v>
      </c>
    </row>
    <row r="14" spans="1:13" ht="25" customHeight="1">
      <c r="A14" s="3" t="s">
        <v>24</v>
      </c>
      <c r="B14" s="3">
        <v>1</v>
      </c>
      <c r="C14" s="3" t="s">
        <v>25</v>
      </c>
      <c r="D14" s="3" t="s">
        <v>2</v>
      </c>
      <c r="F14" s="3" t="s">
        <v>4</v>
      </c>
      <c r="G14" s="4">
        <v>24.3</v>
      </c>
      <c r="H14" s="4">
        <f t="shared" si="0"/>
        <v>27</v>
      </c>
      <c r="I14" s="3" t="s">
        <v>26</v>
      </c>
      <c r="J14" s="3" t="s">
        <v>27</v>
      </c>
      <c r="K14" s="3" t="s">
        <v>28</v>
      </c>
    </row>
    <row r="15" spans="1:13" ht="25" customHeight="1">
      <c r="A15" s="3" t="s">
        <v>29</v>
      </c>
      <c r="B15" s="3">
        <v>1</v>
      </c>
      <c r="C15" s="3" t="s">
        <v>25</v>
      </c>
      <c r="D15" s="3" t="s">
        <v>2</v>
      </c>
      <c r="F15" s="3" t="s">
        <v>9</v>
      </c>
      <c r="G15" s="4">
        <v>90</v>
      </c>
      <c r="H15" s="4">
        <f t="shared" si="0"/>
        <v>100</v>
      </c>
      <c r="I15" s="3" t="s">
        <v>26</v>
      </c>
      <c r="J15" s="3" t="s">
        <v>27</v>
      </c>
      <c r="K15" s="3" t="s">
        <v>28</v>
      </c>
    </row>
    <row r="16" spans="1:13" ht="25" customHeight="1">
      <c r="A16" s="3" t="s">
        <v>30</v>
      </c>
      <c r="B16" s="3">
        <v>1</v>
      </c>
      <c r="C16" s="3" t="s">
        <v>25</v>
      </c>
      <c r="D16" s="3" t="s">
        <v>2</v>
      </c>
      <c r="F16" s="3" t="s">
        <v>11</v>
      </c>
      <c r="G16" s="4">
        <v>157.5</v>
      </c>
      <c r="H16" s="4">
        <f t="shared" si="0"/>
        <v>175</v>
      </c>
      <c r="I16" s="3" t="s">
        <v>26</v>
      </c>
      <c r="J16" s="3" t="s">
        <v>27</v>
      </c>
      <c r="K16" s="3" t="s">
        <v>28</v>
      </c>
    </row>
    <row r="17" spans="1:11" ht="25" customHeight="1">
      <c r="A17" s="3" t="s">
        <v>31</v>
      </c>
      <c r="B17" s="3">
        <v>1</v>
      </c>
      <c r="C17" s="3" t="s">
        <v>25</v>
      </c>
      <c r="D17" s="3" t="s">
        <v>2</v>
      </c>
      <c r="F17" s="3" t="s">
        <v>13</v>
      </c>
      <c r="G17" s="4">
        <v>283.5</v>
      </c>
      <c r="H17" s="4">
        <f t="shared" si="0"/>
        <v>315</v>
      </c>
      <c r="I17" s="3" t="s">
        <v>26</v>
      </c>
      <c r="J17" s="3" t="s">
        <v>27</v>
      </c>
      <c r="K17" s="3" t="s">
        <v>28</v>
      </c>
    </row>
    <row r="18" spans="1:11" ht="25" customHeight="1">
      <c r="A18" s="3" t="s">
        <v>32</v>
      </c>
      <c r="B18" s="3">
        <v>1</v>
      </c>
      <c r="C18" s="3" t="s">
        <v>33</v>
      </c>
      <c r="D18" s="3" t="s">
        <v>2</v>
      </c>
      <c r="F18" s="3" t="s">
        <v>4</v>
      </c>
      <c r="G18" s="4">
        <v>26.1</v>
      </c>
      <c r="H18" s="4">
        <f t="shared" si="0"/>
        <v>29</v>
      </c>
      <c r="I18" s="3" t="s">
        <v>34</v>
      </c>
      <c r="J18" s="3" t="s">
        <v>35</v>
      </c>
      <c r="K18" s="3" t="s">
        <v>36</v>
      </c>
    </row>
    <row r="19" spans="1:11" ht="25" customHeight="1">
      <c r="A19" s="3" t="s">
        <v>37</v>
      </c>
      <c r="B19" s="3">
        <v>1</v>
      </c>
      <c r="C19" s="3" t="s">
        <v>33</v>
      </c>
      <c r="D19" s="3" t="s">
        <v>2</v>
      </c>
      <c r="F19" s="3" t="s">
        <v>9</v>
      </c>
      <c r="G19" s="4">
        <v>51.3</v>
      </c>
      <c r="H19" s="4">
        <f t="shared" si="0"/>
        <v>56.999999999999993</v>
      </c>
      <c r="I19" s="3" t="s">
        <v>34</v>
      </c>
      <c r="J19" s="3" t="s">
        <v>35</v>
      </c>
      <c r="K19" s="3" t="s">
        <v>36</v>
      </c>
    </row>
    <row r="20" spans="1:11" ht="25" customHeight="1">
      <c r="A20" s="3" t="s">
        <v>38</v>
      </c>
      <c r="B20" s="3">
        <v>1</v>
      </c>
      <c r="C20" s="3" t="s">
        <v>33</v>
      </c>
      <c r="D20" s="3" t="s">
        <v>2</v>
      </c>
      <c r="F20" s="3" t="s">
        <v>11</v>
      </c>
      <c r="G20" s="4">
        <v>121.5</v>
      </c>
      <c r="H20" s="4">
        <f t="shared" si="0"/>
        <v>135</v>
      </c>
      <c r="I20" s="3" t="s">
        <v>34</v>
      </c>
      <c r="J20" s="3" t="s">
        <v>35</v>
      </c>
      <c r="K20" s="3" t="s">
        <v>36</v>
      </c>
    </row>
    <row r="21" spans="1:11" ht="25" customHeight="1">
      <c r="A21" s="3" t="s">
        <v>39</v>
      </c>
      <c r="B21" s="3">
        <v>1</v>
      </c>
      <c r="C21" s="3" t="s">
        <v>33</v>
      </c>
      <c r="D21" s="3" t="s">
        <v>2</v>
      </c>
      <c r="F21" s="3" t="s">
        <v>13</v>
      </c>
      <c r="G21" s="4">
        <v>211.5</v>
      </c>
      <c r="H21" s="4">
        <f t="shared" si="0"/>
        <v>235</v>
      </c>
      <c r="I21" s="3" t="s">
        <v>34</v>
      </c>
      <c r="J21" s="3" t="s">
        <v>35</v>
      </c>
      <c r="K21" s="3" t="s">
        <v>36</v>
      </c>
    </row>
    <row r="22" spans="1:11" ht="25" customHeight="1">
      <c r="A22" s="3" t="s">
        <v>40</v>
      </c>
      <c r="B22" s="3">
        <v>1</v>
      </c>
      <c r="C22" s="3" t="s">
        <v>41</v>
      </c>
      <c r="D22" s="3" t="s">
        <v>2</v>
      </c>
      <c r="F22" s="3" t="s">
        <v>4</v>
      </c>
      <c r="G22" s="4">
        <v>38.700000000000003</v>
      </c>
      <c r="H22" s="4">
        <f t="shared" si="0"/>
        <v>43</v>
      </c>
      <c r="I22" s="3" t="s">
        <v>42</v>
      </c>
      <c r="J22" s="3" t="s">
        <v>43</v>
      </c>
      <c r="K22" s="3" t="s">
        <v>44</v>
      </c>
    </row>
    <row r="23" spans="1:11" ht="25" customHeight="1">
      <c r="A23" s="3" t="s">
        <v>45</v>
      </c>
      <c r="B23" s="3">
        <v>1</v>
      </c>
      <c r="C23" s="3" t="s">
        <v>41</v>
      </c>
      <c r="D23" s="3" t="s">
        <v>2</v>
      </c>
      <c r="F23" s="3" t="s">
        <v>9</v>
      </c>
      <c r="G23" s="4">
        <v>63</v>
      </c>
      <c r="H23" s="4">
        <f t="shared" si="0"/>
        <v>70</v>
      </c>
      <c r="I23" s="3" t="s">
        <v>42</v>
      </c>
      <c r="J23" s="3" t="s">
        <v>43</v>
      </c>
      <c r="K23" s="3" t="s">
        <v>44</v>
      </c>
    </row>
    <row r="24" spans="1:11" ht="25" customHeight="1">
      <c r="A24" s="3" t="s">
        <v>46</v>
      </c>
      <c r="B24" s="3">
        <v>1</v>
      </c>
      <c r="C24" s="3" t="s">
        <v>41</v>
      </c>
      <c r="D24" s="3" t="s">
        <v>2</v>
      </c>
      <c r="F24" s="3" t="s">
        <v>11</v>
      </c>
      <c r="G24" s="4">
        <v>152.1</v>
      </c>
      <c r="H24" s="4">
        <f t="shared" si="0"/>
        <v>169</v>
      </c>
      <c r="I24" s="3" t="s">
        <v>42</v>
      </c>
      <c r="J24" s="3" t="s">
        <v>43</v>
      </c>
      <c r="K24" s="3" t="s">
        <v>44</v>
      </c>
    </row>
    <row r="25" spans="1:11" ht="25" customHeight="1">
      <c r="A25" s="3" t="s">
        <v>47</v>
      </c>
      <c r="B25" s="3">
        <v>1</v>
      </c>
      <c r="C25" s="3" t="s">
        <v>41</v>
      </c>
      <c r="D25" s="3" t="s">
        <v>2</v>
      </c>
      <c r="F25" s="3" t="s">
        <v>13</v>
      </c>
      <c r="G25" s="4">
        <v>283.5</v>
      </c>
      <c r="H25" s="4">
        <f t="shared" si="0"/>
        <v>315</v>
      </c>
      <c r="I25" s="3" t="s">
        <v>42</v>
      </c>
      <c r="J25" s="3" t="s">
        <v>43</v>
      </c>
      <c r="K25" s="3" t="s">
        <v>44</v>
      </c>
    </row>
    <row r="26" spans="1:11" ht="25" customHeight="1">
      <c r="A26" s="3" t="s">
        <v>48</v>
      </c>
      <c r="B26" s="3">
        <v>1</v>
      </c>
      <c r="C26" s="3" t="s">
        <v>49</v>
      </c>
      <c r="D26" s="3" t="s">
        <v>2</v>
      </c>
      <c r="F26" s="3" t="s">
        <v>4</v>
      </c>
      <c r="G26" s="4">
        <v>45</v>
      </c>
      <c r="H26" s="4">
        <f t="shared" si="0"/>
        <v>50</v>
      </c>
      <c r="I26" s="3" t="s">
        <v>50</v>
      </c>
      <c r="J26" s="3" t="s">
        <v>51</v>
      </c>
      <c r="K26" s="3" t="s">
        <v>52</v>
      </c>
    </row>
    <row r="27" spans="1:11" ht="25" customHeight="1">
      <c r="A27" s="3" t="s">
        <v>53</v>
      </c>
      <c r="B27" s="3">
        <v>1</v>
      </c>
      <c r="C27" s="3" t="s">
        <v>49</v>
      </c>
      <c r="D27" s="3" t="s">
        <v>2</v>
      </c>
      <c r="F27" s="3" t="s">
        <v>9</v>
      </c>
      <c r="G27" s="4">
        <v>103.5</v>
      </c>
      <c r="H27" s="4">
        <f t="shared" si="0"/>
        <v>115</v>
      </c>
      <c r="I27" s="3" t="s">
        <v>50</v>
      </c>
      <c r="J27" s="3" t="s">
        <v>51</v>
      </c>
      <c r="K27" s="3" t="s">
        <v>52</v>
      </c>
    </row>
    <row r="28" spans="1:11" ht="25" customHeight="1">
      <c r="A28" s="3" t="s">
        <v>54</v>
      </c>
      <c r="B28" s="3">
        <v>1</v>
      </c>
      <c r="C28" s="3" t="s">
        <v>49</v>
      </c>
      <c r="D28" s="3" t="s">
        <v>2</v>
      </c>
      <c r="F28" s="3" t="s">
        <v>11</v>
      </c>
      <c r="G28" s="4">
        <v>233.1</v>
      </c>
      <c r="H28" s="4">
        <f t="shared" si="0"/>
        <v>259</v>
      </c>
      <c r="I28" s="3" t="s">
        <v>50</v>
      </c>
      <c r="J28" s="3" t="s">
        <v>51</v>
      </c>
      <c r="K28" s="3" t="s">
        <v>52</v>
      </c>
    </row>
    <row r="29" spans="1:11" ht="25" customHeight="1">
      <c r="A29" s="3" t="s">
        <v>55</v>
      </c>
      <c r="B29" s="3">
        <v>1</v>
      </c>
      <c r="C29" s="3" t="s">
        <v>49</v>
      </c>
      <c r="D29" s="3" t="s">
        <v>2</v>
      </c>
      <c r="F29" s="3" t="s">
        <v>13</v>
      </c>
      <c r="G29" s="4">
        <v>431.1</v>
      </c>
      <c r="H29" s="4">
        <f t="shared" si="0"/>
        <v>479</v>
      </c>
      <c r="I29" s="3" t="s">
        <v>50</v>
      </c>
      <c r="J29" s="3" t="s">
        <v>51</v>
      </c>
      <c r="K29" s="3" t="s">
        <v>52</v>
      </c>
    </row>
    <row r="30" spans="1:11" ht="25" customHeight="1">
      <c r="A30" s="3" t="s">
        <v>56</v>
      </c>
      <c r="B30" s="3">
        <v>1</v>
      </c>
      <c r="C30" s="3" t="s">
        <v>57</v>
      </c>
      <c r="D30" s="3" t="s">
        <v>58</v>
      </c>
      <c r="F30" s="3" t="s">
        <v>59</v>
      </c>
      <c r="G30" s="4">
        <v>74.571428571428584</v>
      </c>
      <c r="H30" s="4">
        <f t="shared" si="0"/>
        <v>82.857142857142875</v>
      </c>
      <c r="I30" s="3" t="s">
        <v>60</v>
      </c>
      <c r="J30" s="3" t="s">
        <v>61</v>
      </c>
      <c r="K30" s="3" t="s">
        <v>62</v>
      </c>
    </row>
    <row r="31" spans="1:11" ht="25" customHeight="1">
      <c r="A31" s="3" t="s">
        <v>63</v>
      </c>
      <c r="B31" s="3">
        <v>1</v>
      </c>
      <c r="C31" s="3" t="s">
        <v>64</v>
      </c>
      <c r="D31" s="3" t="s">
        <v>65</v>
      </c>
      <c r="F31" s="3" t="s">
        <v>66</v>
      </c>
      <c r="G31" s="4">
        <v>353.6571428571429</v>
      </c>
      <c r="H31" s="4">
        <f t="shared" si="0"/>
        <v>392.95238095238096</v>
      </c>
      <c r="I31" s="3" t="s">
        <v>67</v>
      </c>
      <c r="J31" s="3" t="s">
        <v>68</v>
      </c>
      <c r="K31" s="3" t="s">
        <v>69</v>
      </c>
    </row>
    <row r="32" spans="1:11" ht="25" customHeight="1">
      <c r="A32" s="3" t="s">
        <v>70</v>
      </c>
      <c r="B32" s="3">
        <v>14</v>
      </c>
      <c r="C32" s="3" t="s">
        <v>71</v>
      </c>
      <c r="D32" s="3" t="s">
        <v>2</v>
      </c>
      <c r="F32" s="3" t="s">
        <v>4</v>
      </c>
      <c r="G32" s="4">
        <v>31.5</v>
      </c>
      <c r="H32" s="4">
        <f t="shared" si="0"/>
        <v>35</v>
      </c>
      <c r="I32" s="3" t="s">
        <v>72</v>
      </c>
      <c r="J32" s="3" t="s">
        <v>73</v>
      </c>
      <c r="K32" s="3" t="s">
        <v>74</v>
      </c>
    </row>
    <row r="33" spans="1:11" ht="25" customHeight="1">
      <c r="A33" s="3" t="s">
        <v>75</v>
      </c>
      <c r="B33" s="3">
        <v>14</v>
      </c>
      <c r="C33" s="3" t="s">
        <v>71</v>
      </c>
      <c r="D33" s="3" t="s">
        <v>2</v>
      </c>
      <c r="F33" s="3" t="s">
        <v>9</v>
      </c>
      <c r="G33" s="4">
        <v>90</v>
      </c>
      <c r="H33" s="4">
        <f t="shared" si="0"/>
        <v>100</v>
      </c>
      <c r="I33" s="3" t="s">
        <v>72</v>
      </c>
      <c r="J33" s="3" t="s">
        <v>73</v>
      </c>
      <c r="K33" s="3" t="s">
        <v>74</v>
      </c>
    </row>
    <row r="34" spans="1:11" ht="25" customHeight="1">
      <c r="A34" s="3" t="s">
        <v>76</v>
      </c>
      <c r="B34" s="3">
        <v>14</v>
      </c>
      <c r="C34" s="3" t="s">
        <v>71</v>
      </c>
      <c r="D34" s="3" t="s">
        <v>2</v>
      </c>
      <c r="F34" s="3" t="s">
        <v>11</v>
      </c>
      <c r="G34" s="4">
        <v>197.1</v>
      </c>
      <c r="H34" s="4">
        <f t="shared" si="0"/>
        <v>219</v>
      </c>
      <c r="I34" s="3" t="s">
        <v>72</v>
      </c>
      <c r="J34" s="3" t="s">
        <v>73</v>
      </c>
      <c r="K34" s="3" t="s">
        <v>74</v>
      </c>
    </row>
    <row r="35" spans="1:11" ht="25" customHeight="1">
      <c r="A35" s="3" t="s">
        <v>77</v>
      </c>
      <c r="B35" s="3">
        <v>14</v>
      </c>
      <c r="C35" s="3" t="s">
        <v>71</v>
      </c>
      <c r="D35" s="3" t="s">
        <v>2</v>
      </c>
      <c r="F35" s="3" t="s">
        <v>13</v>
      </c>
      <c r="G35" s="4">
        <v>382.5</v>
      </c>
      <c r="H35" s="4">
        <f t="shared" si="0"/>
        <v>425</v>
      </c>
      <c r="I35" s="3" t="s">
        <v>72</v>
      </c>
      <c r="J35" s="3" t="s">
        <v>73</v>
      </c>
      <c r="K35" s="3" t="s">
        <v>74</v>
      </c>
    </row>
    <row r="36" spans="1:11" ht="25" customHeight="1">
      <c r="A36" s="3" t="s">
        <v>78</v>
      </c>
      <c r="B36" s="3">
        <v>14</v>
      </c>
      <c r="C36" s="3" t="s">
        <v>79</v>
      </c>
      <c r="D36" s="3" t="s">
        <v>2</v>
      </c>
      <c r="F36" s="3" t="s">
        <v>4</v>
      </c>
      <c r="G36" s="4">
        <v>31.5</v>
      </c>
      <c r="H36" s="4">
        <f t="shared" si="0"/>
        <v>35</v>
      </c>
      <c r="I36" s="3" t="s">
        <v>80</v>
      </c>
      <c r="J36" s="3" t="s">
        <v>81</v>
      </c>
      <c r="K36" s="3" t="s">
        <v>82</v>
      </c>
    </row>
    <row r="37" spans="1:11" ht="25" customHeight="1">
      <c r="A37" s="3" t="s">
        <v>83</v>
      </c>
      <c r="B37" s="3">
        <v>14</v>
      </c>
      <c r="C37" s="3" t="s">
        <v>79</v>
      </c>
      <c r="D37" s="3" t="s">
        <v>2</v>
      </c>
      <c r="F37" s="3" t="s">
        <v>9</v>
      </c>
      <c r="G37" s="4">
        <v>121.5</v>
      </c>
      <c r="H37" s="4">
        <f t="shared" si="0"/>
        <v>135</v>
      </c>
      <c r="I37" s="3" t="s">
        <v>80</v>
      </c>
      <c r="J37" s="3" t="s">
        <v>81</v>
      </c>
      <c r="K37" s="3" t="s">
        <v>82</v>
      </c>
    </row>
    <row r="38" spans="1:11" ht="25" customHeight="1">
      <c r="A38" s="3" t="s">
        <v>84</v>
      </c>
      <c r="B38" s="3">
        <v>14</v>
      </c>
      <c r="C38" s="3" t="s">
        <v>79</v>
      </c>
      <c r="D38" s="3" t="s">
        <v>2</v>
      </c>
      <c r="F38" s="3" t="s">
        <v>11</v>
      </c>
      <c r="G38" s="4">
        <v>238.5</v>
      </c>
      <c r="H38" s="4">
        <f t="shared" si="0"/>
        <v>265</v>
      </c>
      <c r="I38" s="3" t="s">
        <v>80</v>
      </c>
      <c r="J38" s="3" t="s">
        <v>81</v>
      </c>
      <c r="K38" s="3" t="s">
        <v>82</v>
      </c>
    </row>
    <row r="39" spans="1:11" ht="25" customHeight="1">
      <c r="A39" s="3" t="s">
        <v>85</v>
      </c>
      <c r="B39" s="3">
        <v>14</v>
      </c>
      <c r="C39" s="3" t="s">
        <v>79</v>
      </c>
      <c r="D39" s="3" t="s">
        <v>2</v>
      </c>
      <c r="F39" s="3" t="s">
        <v>13</v>
      </c>
      <c r="G39" s="4">
        <v>472.5</v>
      </c>
      <c r="H39" s="4">
        <f t="shared" si="0"/>
        <v>525</v>
      </c>
      <c r="I39" s="3" t="s">
        <v>80</v>
      </c>
      <c r="J39" s="3" t="s">
        <v>81</v>
      </c>
      <c r="K39" s="3" t="s">
        <v>82</v>
      </c>
    </row>
    <row r="40" spans="1:11" ht="25" customHeight="1">
      <c r="A40" s="3" t="s">
        <v>86</v>
      </c>
      <c r="B40" s="3">
        <v>14</v>
      </c>
      <c r="C40" s="3" t="s">
        <v>87</v>
      </c>
      <c r="D40" s="3" t="s">
        <v>2</v>
      </c>
      <c r="F40" s="3" t="s">
        <v>4</v>
      </c>
      <c r="G40" s="4">
        <v>30.6</v>
      </c>
      <c r="H40" s="4">
        <f t="shared" si="0"/>
        <v>34</v>
      </c>
      <c r="I40" s="3" t="s">
        <v>88</v>
      </c>
      <c r="J40" s="3" t="s">
        <v>89</v>
      </c>
      <c r="K40" s="3" t="s">
        <v>89</v>
      </c>
    </row>
    <row r="41" spans="1:11" ht="25" customHeight="1">
      <c r="A41" s="3" t="s">
        <v>90</v>
      </c>
      <c r="B41" s="3">
        <v>14</v>
      </c>
      <c r="C41" s="3" t="s">
        <v>87</v>
      </c>
      <c r="D41" s="3" t="s">
        <v>2</v>
      </c>
      <c r="F41" s="3" t="s">
        <v>9</v>
      </c>
      <c r="G41" s="4">
        <v>98.1</v>
      </c>
      <c r="H41" s="4">
        <f t="shared" si="0"/>
        <v>108.99999999999999</v>
      </c>
      <c r="I41" s="3" t="s">
        <v>88</v>
      </c>
      <c r="J41" s="3" t="s">
        <v>89</v>
      </c>
      <c r="K41" s="3" t="s">
        <v>89</v>
      </c>
    </row>
    <row r="42" spans="1:11" ht="25" customHeight="1">
      <c r="A42" s="3" t="s">
        <v>91</v>
      </c>
      <c r="B42" s="3">
        <v>14</v>
      </c>
      <c r="C42" s="3" t="s">
        <v>87</v>
      </c>
      <c r="D42" s="3" t="s">
        <v>2</v>
      </c>
      <c r="F42" s="3" t="s">
        <v>11</v>
      </c>
      <c r="G42" s="4">
        <v>224.1</v>
      </c>
      <c r="H42" s="4">
        <f t="shared" si="0"/>
        <v>249</v>
      </c>
      <c r="I42" s="3" t="s">
        <v>88</v>
      </c>
      <c r="J42" s="3" t="s">
        <v>89</v>
      </c>
      <c r="K42" s="3" t="s">
        <v>89</v>
      </c>
    </row>
    <row r="43" spans="1:11" ht="25" customHeight="1">
      <c r="A43" s="3" t="s">
        <v>92</v>
      </c>
      <c r="B43" s="3">
        <v>14</v>
      </c>
      <c r="C43" s="3" t="s">
        <v>87</v>
      </c>
      <c r="D43" s="3" t="s">
        <v>2</v>
      </c>
      <c r="F43" s="3" t="s">
        <v>13</v>
      </c>
      <c r="G43" s="4">
        <v>440.1</v>
      </c>
      <c r="H43" s="4">
        <f t="shared" si="0"/>
        <v>489</v>
      </c>
      <c r="I43" s="3" t="s">
        <v>88</v>
      </c>
      <c r="J43" s="3" t="s">
        <v>89</v>
      </c>
      <c r="K43" s="3" t="s">
        <v>89</v>
      </c>
    </row>
    <row r="44" spans="1:11" ht="25" customHeight="1">
      <c r="A44" s="3" t="s">
        <v>93</v>
      </c>
      <c r="B44" s="3">
        <v>14</v>
      </c>
      <c r="C44" s="3" t="s">
        <v>94</v>
      </c>
      <c r="D44" s="3" t="s">
        <v>2</v>
      </c>
      <c r="F44" s="3" t="s">
        <v>4</v>
      </c>
      <c r="G44" s="4">
        <v>31.5</v>
      </c>
      <c r="H44" s="4">
        <f t="shared" si="0"/>
        <v>35</v>
      </c>
      <c r="I44" s="3" t="s">
        <v>95</v>
      </c>
      <c r="J44" s="3" t="s">
        <v>96</v>
      </c>
      <c r="K44" s="3" t="s">
        <v>97</v>
      </c>
    </row>
    <row r="45" spans="1:11" ht="25" customHeight="1">
      <c r="A45" s="3" t="s">
        <v>98</v>
      </c>
      <c r="B45" s="3">
        <v>14</v>
      </c>
      <c r="C45" s="3" t="s">
        <v>94</v>
      </c>
      <c r="D45" s="3" t="s">
        <v>2</v>
      </c>
      <c r="F45" s="3" t="s">
        <v>9</v>
      </c>
      <c r="G45" s="4">
        <v>98.1</v>
      </c>
      <c r="H45" s="4">
        <f t="shared" si="0"/>
        <v>108.99999999999999</v>
      </c>
      <c r="I45" s="3" t="s">
        <v>95</v>
      </c>
      <c r="J45" s="3" t="s">
        <v>96</v>
      </c>
      <c r="K45" s="3" t="s">
        <v>97</v>
      </c>
    </row>
    <row r="46" spans="1:11" ht="25" customHeight="1">
      <c r="A46" s="3" t="s">
        <v>99</v>
      </c>
      <c r="B46" s="3">
        <v>14</v>
      </c>
      <c r="C46" s="3" t="s">
        <v>94</v>
      </c>
      <c r="D46" s="3" t="s">
        <v>2</v>
      </c>
      <c r="F46" s="3" t="s">
        <v>11</v>
      </c>
      <c r="G46" s="4">
        <v>233.1</v>
      </c>
      <c r="H46" s="4">
        <f t="shared" si="0"/>
        <v>259</v>
      </c>
      <c r="I46" s="3" t="s">
        <v>95</v>
      </c>
      <c r="J46" s="3" t="s">
        <v>96</v>
      </c>
      <c r="K46" s="3" t="s">
        <v>97</v>
      </c>
    </row>
    <row r="47" spans="1:11" ht="25" customHeight="1">
      <c r="A47" s="3" t="s">
        <v>100</v>
      </c>
      <c r="B47" s="3">
        <v>14</v>
      </c>
      <c r="C47" s="3" t="s">
        <v>94</v>
      </c>
      <c r="D47" s="3" t="s">
        <v>2</v>
      </c>
      <c r="F47" s="3" t="s">
        <v>13</v>
      </c>
      <c r="G47" s="4">
        <v>449.1</v>
      </c>
      <c r="H47" s="4">
        <f t="shared" si="0"/>
        <v>499</v>
      </c>
      <c r="I47" s="3" t="s">
        <v>95</v>
      </c>
      <c r="J47" s="3" t="s">
        <v>96</v>
      </c>
      <c r="K47" s="3" t="s">
        <v>97</v>
      </c>
    </row>
    <row r="48" spans="1:11" ht="25" customHeight="1">
      <c r="A48" s="3" t="s">
        <v>101</v>
      </c>
      <c r="B48" s="3">
        <v>14</v>
      </c>
      <c r="C48" s="3" t="s">
        <v>102</v>
      </c>
      <c r="D48" s="3" t="s">
        <v>2</v>
      </c>
      <c r="F48" s="3" t="s">
        <v>4</v>
      </c>
      <c r="G48" s="4">
        <v>35.1</v>
      </c>
      <c r="H48" s="4">
        <f t="shared" si="0"/>
        <v>39</v>
      </c>
      <c r="I48" s="3" t="s">
        <v>103</v>
      </c>
      <c r="J48" s="3" t="s">
        <v>104</v>
      </c>
      <c r="K48" s="3" t="s">
        <v>105</v>
      </c>
    </row>
    <row r="49" spans="1:11" ht="25" customHeight="1">
      <c r="A49" s="3" t="s">
        <v>106</v>
      </c>
      <c r="B49" s="3">
        <v>14</v>
      </c>
      <c r="C49" s="3" t="s">
        <v>102</v>
      </c>
      <c r="D49" s="3" t="s">
        <v>2</v>
      </c>
      <c r="F49" s="3" t="s">
        <v>9</v>
      </c>
      <c r="G49" s="4">
        <v>112.5</v>
      </c>
      <c r="H49" s="4">
        <f t="shared" si="0"/>
        <v>125</v>
      </c>
      <c r="I49" s="3" t="s">
        <v>103</v>
      </c>
      <c r="J49" s="3" t="s">
        <v>104</v>
      </c>
      <c r="K49" s="3" t="s">
        <v>105</v>
      </c>
    </row>
    <row r="50" spans="1:11" ht="25" customHeight="1">
      <c r="A50" s="3" t="s">
        <v>107</v>
      </c>
      <c r="B50" s="3">
        <v>14</v>
      </c>
      <c r="C50" s="3" t="s">
        <v>102</v>
      </c>
      <c r="D50" s="3" t="s">
        <v>2</v>
      </c>
      <c r="F50" s="3" t="s">
        <v>11</v>
      </c>
      <c r="G50" s="4">
        <v>233.1</v>
      </c>
      <c r="H50" s="4">
        <f t="shared" si="0"/>
        <v>259</v>
      </c>
      <c r="I50" s="3" t="s">
        <v>103</v>
      </c>
      <c r="J50" s="3" t="s">
        <v>104</v>
      </c>
      <c r="K50" s="3" t="s">
        <v>105</v>
      </c>
    </row>
    <row r="51" spans="1:11" ht="25" customHeight="1">
      <c r="A51" s="3" t="s">
        <v>108</v>
      </c>
      <c r="B51" s="3">
        <v>14</v>
      </c>
      <c r="C51" s="3" t="s">
        <v>102</v>
      </c>
      <c r="D51" s="3" t="s">
        <v>2</v>
      </c>
      <c r="F51" s="3" t="s">
        <v>13</v>
      </c>
      <c r="G51" s="4">
        <v>440.1</v>
      </c>
      <c r="H51" s="4">
        <f t="shared" si="0"/>
        <v>489</v>
      </c>
      <c r="I51" s="3" t="s">
        <v>103</v>
      </c>
      <c r="J51" s="3" t="s">
        <v>104</v>
      </c>
      <c r="K51" s="3" t="s">
        <v>105</v>
      </c>
    </row>
    <row r="52" spans="1:11" ht="25" customHeight="1">
      <c r="A52" s="3" t="s">
        <v>109</v>
      </c>
      <c r="B52" s="3">
        <v>14</v>
      </c>
      <c r="C52" s="3" t="s">
        <v>110</v>
      </c>
      <c r="D52" s="3" t="s">
        <v>2</v>
      </c>
      <c r="F52" s="3" t="s">
        <v>4</v>
      </c>
      <c r="G52" s="4">
        <v>31.5</v>
      </c>
      <c r="H52" s="4">
        <f t="shared" si="0"/>
        <v>35</v>
      </c>
      <c r="I52" s="3" t="s">
        <v>111</v>
      </c>
      <c r="J52" s="3" t="s">
        <v>112</v>
      </c>
      <c r="K52" s="3" t="s">
        <v>113</v>
      </c>
    </row>
    <row r="53" spans="1:11" ht="25" customHeight="1">
      <c r="A53" s="3" t="s">
        <v>114</v>
      </c>
      <c r="B53" s="3">
        <v>14</v>
      </c>
      <c r="C53" s="3" t="s">
        <v>110</v>
      </c>
      <c r="D53" s="3" t="s">
        <v>2</v>
      </c>
      <c r="F53" s="3" t="s">
        <v>9</v>
      </c>
      <c r="G53" s="4">
        <v>99</v>
      </c>
      <c r="H53" s="4">
        <f t="shared" si="0"/>
        <v>110</v>
      </c>
      <c r="I53" s="3" t="s">
        <v>111</v>
      </c>
      <c r="J53" s="3" t="s">
        <v>112</v>
      </c>
      <c r="K53" s="3" t="s">
        <v>113</v>
      </c>
    </row>
    <row r="54" spans="1:11" ht="25" customHeight="1">
      <c r="A54" s="3" t="s">
        <v>115</v>
      </c>
      <c r="B54" s="3">
        <v>14</v>
      </c>
      <c r="C54" s="3" t="s">
        <v>110</v>
      </c>
      <c r="D54" s="3" t="s">
        <v>2</v>
      </c>
      <c r="F54" s="3" t="s">
        <v>11</v>
      </c>
      <c r="G54" s="4">
        <v>233.1</v>
      </c>
      <c r="H54" s="4">
        <f t="shared" si="0"/>
        <v>259</v>
      </c>
      <c r="I54" s="3" t="s">
        <v>111</v>
      </c>
      <c r="J54" s="3" t="s">
        <v>112</v>
      </c>
      <c r="K54" s="3" t="s">
        <v>113</v>
      </c>
    </row>
    <row r="55" spans="1:11" ht="25" customHeight="1">
      <c r="A55" s="3" t="s">
        <v>116</v>
      </c>
      <c r="B55" s="3">
        <v>14</v>
      </c>
      <c r="C55" s="3" t="s">
        <v>110</v>
      </c>
      <c r="D55" s="3" t="s">
        <v>2</v>
      </c>
      <c r="F55" s="3" t="s">
        <v>13</v>
      </c>
      <c r="G55" s="4">
        <v>463.5</v>
      </c>
      <c r="H55" s="4">
        <f t="shared" si="0"/>
        <v>515</v>
      </c>
      <c r="I55" s="3" t="s">
        <v>111</v>
      </c>
      <c r="J55" s="3" t="s">
        <v>112</v>
      </c>
      <c r="K55" s="3" t="s">
        <v>113</v>
      </c>
    </row>
    <row r="56" spans="1:11" ht="25" customHeight="1">
      <c r="A56" s="3" t="s">
        <v>117</v>
      </c>
      <c r="B56" s="3">
        <v>14</v>
      </c>
      <c r="C56" s="3" t="s">
        <v>118</v>
      </c>
      <c r="D56" s="3" t="s">
        <v>2</v>
      </c>
      <c r="F56" s="3" t="s">
        <v>4</v>
      </c>
      <c r="G56" s="4">
        <v>44.1</v>
      </c>
      <c r="H56" s="4">
        <f t="shared" si="0"/>
        <v>49</v>
      </c>
      <c r="I56" s="3" t="s">
        <v>119</v>
      </c>
      <c r="J56" s="3" t="s">
        <v>120</v>
      </c>
      <c r="K56" s="3" t="s">
        <v>121</v>
      </c>
    </row>
    <row r="57" spans="1:11" ht="25" customHeight="1">
      <c r="A57" s="3" t="s">
        <v>122</v>
      </c>
      <c r="B57" s="3">
        <v>14</v>
      </c>
      <c r="C57" s="3" t="s">
        <v>118</v>
      </c>
      <c r="D57" s="3" t="s">
        <v>2</v>
      </c>
      <c r="F57" s="3" t="s">
        <v>9</v>
      </c>
      <c r="G57" s="4">
        <v>116.1</v>
      </c>
      <c r="H57" s="4">
        <f t="shared" si="0"/>
        <v>129</v>
      </c>
      <c r="I57" s="3" t="s">
        <v>119</v>
      </c>
      <c r="J57" s="3" t="s">
        <v>120</v>
      </c>
      <c r="K57" s="3" t="s">
        <v>121</v>
      </c>
    </row>
    <row r="58" spans="1:11" ht="25" customHeight="1">
      <c r="A58" s="3" t="s">
        <v>123</v>
      </c>
      <c r="B58" s="3">
        <v>14</v>
      </c>
      <c r="C58" s="3" t="s">
        <v>118</v>
      </c>
      <c r="D58" s="3" t="s">
        <v>2</v>
      </c>
      <c r="F58" s="3" t="s">
        <v>11</v>
      </c>
      <c r="G58" s="4">
        <v>278.10000000000002</v>
      </c>
      <c r="H58" s="4">
        <f t="shared" si="0"/>
        <v>309</v>
      </c>
      <c r="I58" s="3" t="s">
        <v>119</v>
      </c>
      <c r="J58" s="3" t="s">
        <v>120</v>
      </c>
      <c r="K58" s="3" t="s">
        <v>121</v>
      </c>
    </row>
    <row r="59" spans="1:11" ht="25" customHeight="1">
      <c r="A59" s="3" t="s">
        <v>124</v>
      </c>
      <c r="B59" s="3">
        <v>14</v>
      </c>
      <c r="C59" s="3" t="s">
        <v>118</v>
      </c>
      <c r="D59" s="3" t="s">
        <v>2</v>
      </c>
      <c r="F59" s="3" t="s">
        <v>13</v>
      </c>
      <c r="G59" s="4">
        <v>540</v>
      </c>
      <c r="H59" s="4">
        <f t="shared" si="0"/>
        <v>600</v>
      </c>
      <c r="I59" s="3" t="s">
        <v>119</v>
      </c>
      <c r="J59" s="3" t="s">
        <v>120</v>
      </c>
      <c r="K59" s="3" t="s">
        <v>121</v>
      </c>
    </row>
    <row r="60" spans="1:11" ht="25" customHeight="1">
      <c r="A60" s="3" t="s">
        <v>125</v>
      </c>
      <c r="B60" s="3">
        <v>13</v>
      </c>
      <c r="C60" s="3" t="s">
        <v>126</v>
      </c>
      <c r="D60" s="3" t="s">
        <v>2</v>
      </c>
      <c r="F60" s="3" t="s">
        <v>4</v>
      </c>
      <c r="G60" s="4">
        <v>45</v>
      </c>
      <c r="H60" s="4">
        <f t="shared" si="0"/>
        <v>50</v>
      </c>
      <c r="I60" s="3" t="s">
        <v>127</v>
      </c>
      <c r="J60" s="3" t="s">
        <v>128</v>
      </c>
      <c r="K60" s="3" t="s">
        <v>129</v>
      </c>
    </row>
    <row r="61" spans="1:11" ht="25" customHeight="1">
      <c r="A61" s="3" t="s">
        <v>130</v>
      </c>
      <c r="B61" s="3">
        <v>13</v>
      </c>
      <c r="C61" s="3" t="s">
        <v>126</v>
      </c>
      <c r="D61" s="3" t="s">
        <v>2</v>
      </c>
      <c r="F61" s="3" t="s">
        <v>9</v>
      </c>
      <c r="G61" s="4">
        <v>105</v>
      </c>
      <c r="H61" s="4">
        <f t="shared" si="0"/>
        <v>116.66666666666666</v>
      </c>
      <c r="I61" s="3" t="s">
        <v>127</v>
      </c>
      <c r="J61" s="3" t="s">
        <v>128</v>
      </c>
      <c r="K61" s="3" t="s">
        <v>129</v>
      </c>
    </row>
    <row r="62" spans="1:11" ht="25" customHeight="1">
      <c r="A62" s="3" t="s">
        <v>131</v>
      </c>
      <c r="B62" s="3">
        <v>13</v>
      </c>
      <c r="C62" s="3" t="s">
        <v>126</v>
      </c>
      <c r="D62" s="3" t="s">
        <v>2</v>
      </c>
      <c r="F62" s="3" t="s">
        <v>11</v>
      </c>
      <c r="G62" s="4">
        <v>237</v>
      </c>
      <c r="H62" s="4">
        <f t="shared" si="0"/>
        <v>263.33333333333331</v>
      </c>
      <c r="I62" s="3" t="s">
        <v>127</v>
      </c>
      <c r="J62" s="3" t="s">
        <v>128</v>
      </c>
      <c r="K62" s="3" t="s">
        <v>129</v>
      </c>
    </row>
    <row r="63" spans="1:11" ht="25" customHeight="1">
      <c r="A63" s="3" t="s">
        <v>132</v>
      </c>
      <c r="B63" s="3">
        <v>13</v>
      </c>
      <c r="C63" s="3" t="s">
        <v>126</v>
      </c>
      <c r="D63" s="3" t="s">
        <v>2</v>
      </c>
      <c r="F63" s="3" t="s">
        <v>13</v>
      </c>
      <c r="G63" s="4">
        <v>362</v>
      </c>
      <c r="H63" s="4">
        <f t="shared" si="0"/>
        <v>402.22222222222223</v>
      </c>
      <c r="I63" s="3" t="s">
        <v>127</v>
      </c>
      <c r="J63" s="3" t="s">
        <v>128</v>
      </c>
      <c r="K63" s="3" t="s">
        <v>129</v>
      </c>
    </row>
    <row r="64" spans="1:11" ht="25" customHeight="1">
      <c r="A64" s="3" t="s">
        <v>133</v>
      </c>
      <c r="B64" s="3">
        <v>13</v>
      </c>
      <c r="C64" s="3" t="s">
        <v>134</v>
      </c>
      <c r="D64" s="3" t="s">
        <v>2</v>
      </c>
      <c r="F64" s="3" t="s">
        <v>135</v>
      </c>
      <c r="G64" s="4">
        <v>129</v>
      </c>
      <c r="H64" s="4">
        <f t="shared" si="0"/>
        <v>143.33333333333334</v>
      </c>
      <c r="I64" s="3" t="s">
        <v>136</v>
      </c>
    </row>
    <row r="65" spans="1:11" ht="25" customHeight="1">
      <c r="A65" s="3" t="s">
        <v>137</v>
      </c>
      <c r="B65" s="3">
        <v>3</v>
      </c>
      <c r="C65" s="3" t="s">
        <v>138</v>
      </c>
      <c r="D65" s="3" t="s">
        <v>2</v>
      </c>
      <c r="F65" s="3" t="s">
        <v>4</v>
      </c>
      <c r="G65" s="4">
        <v>35.1</v>
      </c>
      <c r="H65" s="4">
        <f t="shared" si="0"/>
        <v>39</v>
      </c>
      <c r="I65" s="3" t="s">
        <v>139</v>
      </c>
      <c r="J65" s="3" t="s">
        <v>140</v>
      </c>
      <c r="K65" s="3" t="s">
        <v>141</v>
      </c>
    </row>
    <row r="66" spans="1:11" ht="25" customHeight="1">
      <c r="A66" s="3" t="s">
        <v>142</v>
      </c>
      <c r="B66" s="3">
        <v>3</v>
      </c>
      <c r="C66" s="3" t="s">
        <v>138</v>
      </c>
      <c r="D66" s="3" t="s">
        <v>2</v>
      </c>
      <c r="F66" s="3" t="s">
        <v>9</v>
      </c>
      <c r="G66" s="4">
        <v>121.5</v>
      </c>
      <c r="H66" s="4">
        <f t="shared" ref="H66:H129" si="1">IF(G66="","",G66/(1-$M$1))</f>
        <v>135</v>
      </c>
      <c r="I66" s="3" t="s">
        <v>139</v>
      </c>
      <c r="J66" s="3" t="s">
        <v>140</v>
      </c>
      <c r="K66" s="3" t="s">
        <v>141</v>
      </c>
    </row>
    <row r="67" spans="1:11" ht="25" customHeight="1">
      <c r="A67" s="3" t="s">
        <v>143</v>
      </c>
      <c r="B67" s="3">
        <v>3</v>
      </c>
      <c r="C67" s="3" t="s">
        <v>138</v>
      </c>
      <c r="D67" s="3" t="s">
        <v>2</v>
      </c>
      <c r="F67" s="3" t="s">
        <v>11</v>
      </c>
      <c r="G67" s="4">
        <v>283.5</v>
      </c>
      <c r="H67" s="4">
        <f t="shared" si="1"/>
        <v>315</v>
      </c>
      <c r="I67" s="3" t="s">
        <v>139</v>
      </c>
      <c r="J67" s="3" t="s">
        <v>140</v>
      </c>
      <c r="K67" s="3" t="s">
        <v>141</v>
      </c>
    </row>
    <row r="68" spans="1:11" ht="25" customHeight="1">
      <c r="A68" s="3" t="s">
        <v>144</v>
      </c>
      <c r="B68" s="3">
        <v>3</v>
      </c>
      <c r="C68" s="3" t="s">
        <v>138</v>
      </c>
      <c r="D68" s="3" t="s">
        <v>2</v>
      </c>
      <c r="F68" s="3" t="s">
        <v>13</v>
      </c>
      <c r="G68" s="4">
        <v>531</v>
      </c>
      <c r="H68" s="4">
        <f t="shared" si="1"/>
        <v>590</v>
      </c>
      <c r="I68" s="3" t="s">
        <v>139</v>
      </c>
      <c r="J68" s="3" t="s">
        <v>140</v>
      </c>
      <c r="K68" s="3" t="s">
        <v>141</v>
      </c>
    </row>
    <row r="69" spans="1:11" ht="25" customHeight="1">
      <c r="A69" s="3" t="s">
        <v>145</v>
      </c>
      <c r="B69" s="3">
        <v>3</v>
      </c>
      <c r="C69" s="3" t="s">
        <v>146</v>
      </c>
      <c r="D69" s="3" t="s">
        <v>2</v>
      </c>
      <c r="F69" s="3" t="s">
        <v>147</v>
      </c>
      <c r="G69" s="4">
        <v>119</v>
      </c>
      <c r="H69" s="4">
        <f t="shared" si="1"/>
        <v>132.22222222222223</v>
      </c>
      <c r="I69" s="3" t="s">
        <v>148</v>
      </c>
    </row>
    <row r="70" spans="1:11" ht="25" customHeight="1">
      <c r="A70" s="3" t="s">
        <v>149</v>
      </c>
      <c r="B70" s="3">
        <v>3</v>
      </c>
      <c r="C70" s="3" t="s">
        <v>146</v>
      </c>
      <c r="D70" s="3" t="s">
        <v>2</v>
      </c>
      <c r="F70" s="3" t="s">
        <v>9</v>
      </c>
      <c r="G70" s="4">
        <v>550</v>
      </c>
      <c r="H70" s="4">
        <f t="shared" si="1"/>
        <v>611.11111111111109</v>
      </c>
      <c r="I70" s="3" t="s">
        <v>148</v>
      </c>
    </row>
    <row r="71" spans="1:11" ht="25" customHeight="1">
      <c r="A71" s="3" t="s">
        <v>150</v>
      </c>
      <c r="B71" s="3">
        <v>3</v>
      </c>
      <c r="C71" s="3" t="s">
        <v>151</v>
      </c>
      <c r="D71" s="3" t="s">
        <v>2</v>
      </c>
      <c r="F71" s="3" t="s">
        <v>4</v>
      </c>
      <c r="G71" s="4">
        <v>53</v>
      </c>
      <c r="H71" s="4">
        <f t="shared" si="1"/>
        <v>58.888888888888886</v>
      </c>
      <c r="J71" s="3" t="s">
        <v>152</v>
      </c>
      <c r="K71" s="3" t="s">
        <v>153</v>
      </c>
    </row>
    <row r="72" spans="1:11" ht="25" customHeight="1">
      <c r="A72" s="3" t="s">
        <v>154</v>
      </c>
      <c r="B72" s="3">
        <v>3</v>
      </c>
      <c r="C72" s="3" t="s">
        <v>151</v>
      </c>
      <c r="D72" s="3" t="s">
        <v>2</v>
      </c>
      <c r="F72" s="3" t="s">
        <v>9</v>
      </c>
      <c r="G72" s="4">
        <v>125</v>
      </c>
      <c r="H72" s="4">
        <f t="shared" si="1"/>
        <v>138.88888888888889</v>
      </c>
      <c r="J72" s="3" t="s">
        <v>152</v>
      </c>
      <c r="K72" s="3" t="s">
        <v>153</v>
      </c>
    </row>
    <row r="73" spans="1:11" ht="25" customHeight="1">
      <c r="A73" s="3" t="s">
        <v>155</v>
      </c>
      <c r="B73" s="3">
        <v>3</v>
      </c>
      <c r="C73" s="3" t="s">
        <v>151</v>
      </c>
      <c r="D73" s="3" t="s">
        <v>2</v>
      </c>
      <c r="F73" s="3" t="s">
        <v>11</v>
      </c>
      <c r="G73" s="4">
        <v>303</v>
      </c>
      <c r="H73" s="4">
        <f t="shared" si="1"/>
        <v>336.66666666666669</v>
      </c>
      <c r="J73" s="3" t="s">
        <v>152</v>
      </c>
      <c r="K73" s="3" t="s">
        <v>153</v>
      </c>
    </row>
    <row r="74" spans="1:11" ht="25" customHeight="1">
      <c r="A74" s="3" t="s">
        <v>156</v>
      </c>
      <c r="B74" s="3">
        <v>3</v>
      </c>
      <c r="C74" s="3" t="s">
        <v>151</v>
      </c>
      <c r="D74" s="3" t="s">
        <v>2</v>
      </c>
      <c r="F74" s="3" t="s">
        <v>13</v>
      </c>
      <c r="G74" s="4">
        <v>576</v>
      </c>
      <c r="H74" s="4">
        <f t="shared" si="1"/>
        <v>640</v>
      </c>
      <c r="J74" s="3" t="s">
        <v>152</v>
      </c>
      <c r="K74" s="3" t="s">
        <v>153</v>
      </c>
    </row>
    <row r="75" spans="1:11" ht="25" customHeight="1">
      <c r="A75" s="3" t="s">
        <v>157</v>
      </c>
      <c r="B75" s="3">
        <v>2</v>
      </c>
      <c r="C75" s="3" t="s">
        <v>158</v>
      </c>
      <c r="D75" s="3" t="s">
        <v>2</v>
      </c>
      <c r="E75" s="3" t="s">
        <v>159</v>
      </c>
      <c r="F75" s="3" t="s">
        <v>4</v>
      </c>
      <c r="G75" s="4">
        <v>44.1</v>
      </c>
      <c r="H75" s="4">
        <f t="shared" si="1"/>
        <v>49</v>
      </c>
      <c r="I75" s="3" t="s">
        <v>160</v>
      </c>
      <c r="J75" s="3" t="s">
        <v>161</v>
      </c>
      <c r="K75" s="3" t="s">
        <v>162</v>
      </c>
    </row>
    <row r="76" spans="1:11" ht="25" customHeight="1">
      <c r="A76" s="3" t="s">
        <v>163</v>
      </c>
      <c r="B76" s="3">
        <v>2</v>
      </c>
      <c r="C76" s="3" t="s">
        <v>158</v>
      </c>
      <c r="D76" s="3" t="s">
        <v>2</v>
      </c>
      <c r="E76" s="3" t="s">
        <v>159</v>
      </c>
      <c r="F76" s="3" t="s">
        <v>9</v>
      </c>
      <c r="G76" s="4">
        <v>98.1</v>
      </c>
      <c r="H76" s="4">
        <f t="shared" si="1"/>
        <v>108.99999999999999</v>
      </c>
      <c r="I76" s="3" t="s">
        <v>160</v>
      </c>
      <c r="J76" s="3" t="s">
        <v>161</v>
      </c>
      <c r="K76" s="3" t="s">
        <v>162</v>
      </c>
    </row>
    <row r="77" spans="1:11" ht="25" customHeight="1">
      <c r="A77" s="3" t="s">
        <v>164</v>
      </c>
      <c r="B77" s="3">
        <v>2</v>
      </c>
      <c r="C77" s="3" t="s">
        <v>158</v>
      </c>
      <c r="D77" s="3" t="s">
        <v>2</v>
      </c>
      <c r="E77" s="3" t="s">
        <v>159</v>
      </c>
      <c r="F77" s="3" t="s">
        <v>11</v>
      </c>
      <c r="G77" s="4">
        <v>225</v>
      </c>
      <c r="H77" s="4">
        <f t="shared" si="1"/>
        <v>250</v>
      </c>
      <c r="I77" s="3" t="s">
        <v>160</v>
      </c>
      <c r="J77" s="3" t="s">
        <v>161</v>
      </c>
      <c r="K77" s="3" t="s">
        <v>162</v>
      </c>
    </row>
    <row r="78" spans="1:11" ht="25" customHeight="1">
      <c r="A78" s="3" t="s">
        <v>165</v>
      </c>
      <c r="B78" s="3">
        <v>2</v>
      </c>
      <c r="C78" s="3" t="s">
        <v>158</v>
      </c>
      <c r="D78" s="3" t="s">
        <v>2</v>
      </c>
      <c r="E78" s="3" t="s">
        <v>159</v>
      </c>
      <c r="F78" s="3" t="s">
        <v>13</v>
      </c>
      <c r="G78" s="4">
        <v>422.1</v>
      </c>
      <c r="H78" s="4">
        <f t="shared" si="1"/>
        <v>469</v>
      </c>
      <c r="I78" s="3" t="s">
        <v>160</v>
      </c>
      <c r="J78" s="3" t="s">
        <v>161</v>
      </c>
      <c r="K78" s="3" t="s">
        <v>162</v>
      </c>
    </row>
    <row r="79" spans="1:11" ht="25" customHeight="1">
      <c r="A79" s="3" t="s">
        <v>166</v>
      </c>
      <c r="B79" s="3">
        <v>2</v>
      </c>
      <c r="C79" s="3" t="s">
        <v>158</v>
      </c>
      <c r="D79" s="3" t="s">
        <v>2</v>
      </c>
      <c r="E79" s="3" t="s">
        <v>167</v>
      </c>
      <c r="F79" s="3" t="s">
        <v>4</v>
      </c>
      <c r="G79" s="4">
        <v>44.1</v>
      </c>
      <c r="H79" s="4">
        <f t="shared" si="1"/>
        <v>49</v>
      </c>
      <c r="I79" s="3" t="s">
        <v>160</v>
      </c>
      <c r="J79" s="3" t="s">
        <v>161</v>
      </c>
      <c r="K79" s="3" t="s">
        <v>162</v>
      </c>
    </row>
    <row r="80" spans="1:11" ht="25" customHeight="1">
      <c r="A80" s="3" t="s">
        <v>168</v>
      </c>
      <c r="B80" s="3">
        <v>2</v>
      </c>
      <c r="C80" s="3" t="s">
        <v>158</v>
      </c>
      <c r="D80" s="3" t="s">
        <v>2</v>
      </c>
      <c r="E80" s="3" t="s">
        <v>167</v>
      </c>
      <c r="F80" s="3" t="s">
        <v>9</v>
      </c>
      <c r="G80" s="4">
        <v>98.1</v>
      </c>
      <c r="H80" s="4">
        <f t="shared" si="1"/>
        <v>108.99999999999999</v>
      </c>
      <c r="I80" s="3" t="s">
        <v>160</v>
      </c>
      <c r="J80" s="3" t="s">
        <v>161</v>
      </c>
      <c r="K80" s="3" t="s">
        <v>162</v>
      </c>
    </row>
    <row r="81" spans="1:11" ht="25" customHeight="1">
      <c r="A81" s="3" t="s">
        <v>169</v>
      </c>
      <c r="B81" s="3">
        <v>2</v>
      </c>
      <c r="C81" s="3" t="s">
        <v>158</v>
      </c>
      <c r="D81" s="3" t="s">
        <v>2</v>
      </c>
      <c r="E81" s="3" t="s">
        <v>167</v>
      </c>
      <c r="F81" s="3" t="s">
        <v>11</v>
      </c>
      <c r="G81" s="4">
        <v>225</v>
      </c>
      <c r="H81" s="4">
        <f t="shared" si="1"/>
        <v>250</v>
      </c>
      <c r="I81" s="3" t="s">
        <v>160</v>
      </c>
      <c r="J81" s="3" t="s">
        <v>161</v>
      </c>
      <c r="K81" s="3" t="s">
        <v>162</v>
      </c>
    </row>
    <row r="82" spans="1:11" ht="25" customHeight="1">
      <c r="A82" s="3" t="s">
        <v>170</v>
      </c>
      <c r="B82" s="3">
        <v>2</v>
      </c>
      <c r="C82" s="3" t="s">
        <v>158</v>
      </c>
      <c r="D82" s="3" t="s">
        <v>2</v>
      </c>
      <c r="E82" s="3" t="s">
        <v>167</v>
      </c>
      <c r="F82" s="3" t="s">
        <v>13</v>
      </c>
      <c r="G82" s="4">
        <v>422.1</v>
      </c>
      <c r="H82" s="4">
        <f t="shared" si="1"/>
        <v>469</v>
      </c>
      <c r="I82" s="3" t="s">
        <v>160</v>
      </c>
      <c r="J82" s="3" t="s">
        <v>161</v>
      </c>
      <c r="K82" s="3" t="s">
        <v>162</v>
      </c>
    </row>
    <row r="83" spans="1:11" ht="25" customHeight="1">
      <c r="A83" s="3" t="s">
        <v>171</v>
      </c>
      <c r="B83" s="3">
        <v>2</v>
      </c>
      <c r="C83" s="3" t="s">
        <v>158</v>
      </c>
      <c r="D83" s="3" t="s">
        <v>2</v>
      </c>
      <c r="E83" s="3" t="s">
        <v>172</v>
      </c>
      <c r="F83" s="3" t="s">
        <v>4</v>
      </c>
      <c r="G83" s="4">
        <v>44.1</v>
      </c>
      <c r="H83" s="4">
        <f t="shared" si="1"/>
        <v>49</v>
      </c>
      <c r="I83" s="3" t="s">
        <v>160</v>
      </c>
      <c r="J83" s="3" t="s">
        <v>161</v>
      </c>
      <c r="K83" s="3" t="s">
        <v>162</v>
      </c>
    </row>
    <row r="84" spans="1:11" ht="25" customHeight="1">
      <c r="A84" s="3" t="s">
        <v>173</v>
      </c>
      <c r="B84" s="3">
        <v>2</v>
      </c>
      <c r="C84" s="3" t="s">
        <v>158</v>
      </c>
      <c r="D84" s="3" t="s">
        <v>2</v>
      </c>
      <c r="E84" s="3" t="s">
        <v>172</v>
      </c>
      <c r="F84" s="3" t="s">
        <v>9</v>
      </c>
      <c r="G84" s="4">
        <v>98.1</v>
      </c>
      <c r="H84" s="4">
        <f t="shared" si="1"/>
        <v>108.99999999999999</v>
      </c>
      <c r="I84" s="3" t="s">
        <v>160</v>
      </c>
      <c r="J84" s="3" t="s">
        <v>161</v>
      </c>
      <c r="K84" s="3" t="s">
        <v>162</v>
      </c>
    </row>
    <row r="85" spans="1:11" ht="25" customHeight="1">
      <c r="A85" s="3" t="s">
        <v>174</v>
      </c>
      <c r="B85" s="3">
        <v>2</v>
      </c>
      <c r="C85" s="3" t="s">
        <v>158</v>
      </c>
      <c r="D85" s="3" t="s">
        <v>2</v>
      </c>
      <c r="E85" s="3" t="s">
        <v>172</v>
      </c>
      <c r="F85" s="3" t="s">
        <v>11</v>
      </c>
      <c r="G85" s="4">
        <v>225</v>
      </c>
      <c r="H85" s="4">
        <f t="shared" si="1"/>
        <v>250</v>
      </c>
      <c r="I85" s="3" t="s">
        <v>160</v>
      </c>
      <c r="J85" s="3" t="s">
        <v>161</v>
      </c>
      <c r="K85" s="3" t="s">
        <v>162</v>
      </c>
    </row>
    <row r="86" spans="1:11" ht="25" customHeight="1">
      <c r="A86" s="3" t="s">
        <v>175</v>
      </c>
      <c r="B86" s="3">
        <v>2</v>
      </c>
      <c r="C86" s="3" t="s">
        <v>158</v>
      </c>
      <c r="D86" s="3" t="s">
        <v>2</v>
      </c>
      <c r="E86" s="3" t="s">
        <v>172</v>
      </c>
      <c r="F86" s="3" t="s">
        <v>13</v>
      </c>
      <c r="G86" s="4">
        <v>422.1</v>
      </c>
      <c r="H86" s="4">
        <f t="shared" si="1"/>
        <v>469</v>
      </c>
      <c r="I86" s="3" t="s">
        <v>160</v>
      </c>
      <c r="J86" s="3" t="s">
        <v>161</v>
      </c>
      <c r="K86" s="3" t="s">
        <v>162</v>
      </c>
    </row>
    <row r="87" spans="1:11" ht="25" customHeight="1">
      <c r="A87" s="3" t="s">
        <v>176</v>
      </c>
      <c r="B87" s="3">
        <v>2</v>
      </c>
      <c r="C87" s="3" t="s">
        <v>177</v>
      </c>
      <c r="D87" s="3" t="s">
        <v>2</v>
      </c>
      <c r="F87" s="3" t="s">
        <v>178</v>
      </c>
      <c r="G87" s="4">
        <v>11.7</v>
      </c>
      <c r="H87" s="4">
        <f t="shared" si="1"/>
        <v>12.999999999999998</v>
      </c>
      <c r="I87" s="3" t="s">
        <v>179</v>
      </c>
      <c r="J87" s="3" t="s">
        <v>180</v>
      </c>
      <c r="K87" s="3" t="s">
        <v>181</v>
      </c>
    </row>
    <row r="88" spans="1:11" ht="25" customHeight="1">
      <c r="A88" s="3" t="s">
        <v>182</v>
      </c>
      <c r="B88" s="3">
        <v>2</v>
      </c>
      <c r="C88" s="3" t="s">
        <v>177</v>
      </c>
      <c r="D88" s="3" t="s">
        <v>2</v>
      </c>
      <c r="F88" s="3" t="s">
        <v>147</v>
      </c>
      <c r="G88" s="4">
        <v>45</v>
      </c>
      <c r="H88" s="4">
        <f t="shared" si="1"/>
        <v>50</v>
      </c>
      <c r="I88" s="3" t="s">
        <v>183</v>
      </c>
      <c r="J88" s="3" t="s">
        <v>180</v>
      </c>
      <c r="K88" s="3" t="s">
        <v>181</v>
      </c>
    </row>
    <row r="89" spans="1:11" ht="25" customHeight="1">
      <c r="A89" s="3" t="s">
        <v>184</v>
      </c>
      <c r="B89" s="3">
        <v>2</v>
      </c>
      <c r="C89" s="3" t="s">
        <v>177</v>
      </c>
      <c r="D89" s="3" t="s">
        <v>2</v>
      </c>
      <c r="F89" s="3" t="s">
        <v>9</v>
      </c>
      <c r="G89" s="4">
        <v>283.5</v>
      </c>
      <c r="H89" s="4">
        <f t="shared" si="1"/>
        <v>315</v>
      </c>
      <c r="I89" s="3" t="s">
        <v>183</v>
      </c>
      <c r="J89" s="3" t="s">
        <v>180</v>
      </c>
      <c r="K89" s="3" t="s">
        <v>181</v>
      </c>
    </row>
    <row r="90" spans="1:11" ht="25" customHeight="1">
      <c r="A90" s="3" t="s">
        <v>185</v>
      </c>
      <c r="B90" s="3">
        <v>2</v>
      </c>
      <c r="C90" s="3" t="s">
        <v>177</v>
      </c>
      <c r="D90" s="3" t="s">
        <v>2</v>
      </c>
      <c r="F90" s="3" t="s">
        <v>11</v>
      </c>
      <c r="G90" s="4">
        <v>382.5</v>
      </c>
      <c r="H90" s="4">
        <f t="shared" si="1"/>
        <v>425</v>
      </c>
      <c r="I90" s="3" t="s">
        <v>183</v>
      </c>
      <c r="J90" s="3" t="s">
        <v>180</v>
      </c>
      <c r="K90" s="3" t="s">
        <v>181</v>
      </c>
    </row>
    <row r="91" spans="1:11" ht="25" customHeight="1">
      <c r="A91" s="3" t="s">
        <v>186</v>
      </c>
      <c r="B91" s="3">
        <v>2</v>
      </c>
      <c r="C91" s="3" t="s">
        <v>177</v>
      </c>
      <c r="D91" s="3" t="s">
        <v>2</v>
      </c>
      <c r="F91" s="3" t="s">
        <v>13</v>
      </c>
      <c r="G91" s="4">
        <v>715.5</v>
      </c>
      <c r="H91" s="4">
        <f t="shared" si="1"/>
        <v>795</v>
      </c>
      <c r="I91" s="3" t="s">
        <v>183</v>
      </c>
      <c r="J91" s="3" t="s">
        <v>180</v>
      </c>
      <c r="K91" s="3" t="s">
        <v>181</v>
      </c>
    </row>
    <row r="92" spans="1:11" ht="25" customHeight="1">
      <c r="A92" s="3" t="s">
        <v>187</v>
      </c>
      <c r="B92" s="3">
        <v>2</v>
      </c>
      <c r="C92" s="3" t="s">
        <v>188</v>
      </c>
      <c r="D92" s="3" t="s">
        <v>2</v>
      </c>
      <c r="F92" s="3" t="s">
        <v>178</v>
      </c>
      <c r="G92" s="4">
        <v>11.7</v>
      </c>
      <c r="H92" s="4">
        <f t="shared" si="1"/>
        <v>12.999999999999998</v>
      </c>
      <c r="I92" s="3" t="s">
        <v>189</v>
      </c>
      <c r="J92" s="3" t="s">
        <v>190</v>
      </c>
      <c r="K92" s="3" t="s">
        <v>191</v>
      </c>
    </row>
    <row r="93" spans="1:11" ht="25" customHeight="1">
      <c r="A93" s="3" t="s">
        <v>192</v>
      </c>
      <c r="B93" s="3">
        <v>2</v>
      </c>
      <c r="C93" s="3" t="s">
        <v>188</v>
      </c>
      <c r="D93" s="3" t="s">
        <v>2</v>
      </c>
      <c r="F93" s="3" t="s">
        <v>147</v>
      </c>
      <c r="G93" s="4">
        <v>53.1</v>
      </c>
      <c r="H93" s="4">
        <f t="shared" si="1"/>
        <v>59</v>
      </c>
      <c r="I93" s="3" t="s">
        <v>193</v>
      </c>
      <c r="J93" s="3" t="s">
        <v>190</v>
      </c>
      <c r="K93" s="3" t="s">
        <v>191</v>
      </c>
    </row>
    <row r="94" spans="1:11" ht="25" customHeight="1">
      <c r="A94" s="3" t="s">
        <v>194</v>
      </c>
      <c r="B94" s="3">
        <v>2</v>
      </c>
      <c r="C94" s="3" t="s">
        <v>188</v>
      </c>
      <c r="D94" s="3" t="s">
        <v>2</v>
      </c>
      <c r="F94" s="3" t="s">
        <v>9</v>
      </c>
      <c r="G94" s="4">
        <v>283.5</v>
      </c>
      <c r="H94" s="4">
        <f t="shared" si="1"/>
        <v>315</v>
      </c>
      <c r="I94" s="3" t="s">
        <v>193</v>
      </c>
      <c r="J94" s="3" t="s">
        <v>190</v>
      </c>
      <c r="K94" s="3" t="s">
        <v>191</v>
      </c>
    </row>
    <row r="95" spans="1:11" ht="25" customHeight="1">
      <c r="A95" s="3" t="s">
        <v>195</v>
      </c>
      <c r="B95" s="3">
        <v>2</v>
      </c>
      <c r="C95" s="3" t="s">
        <v>188</v>
      </c>
      <c r="D95" s="3" t="s">
        <v>2</v>
      </c>
      <c r="F95" s="3" t="s">
        <v>11</v>
      </c>
      <c r="G95" s="4">
        <v>481.5</v>
      </c>
      <c r="H95" s="4">
        <f t="shared" si="1"/>
        <v>535</v>
      </c>
      <c r="I95" s="3" t="s">
        <v>193</v>
      </c>
      <c r="J95" s="3" t="s">
        <v>190</v>
      </c>
      <c r="K95" s="3" t="s">
        <v>191</v>
      </c>
    </row>
    <row r="96" spans="1:11" ht="25" customHeight="1">
      <c r="A96" s="3" t="s">
        <v>196</v>
      </c>
      <c r="B96" s="3">
        <v>2</v>
      </c>
      <c r="C96" s="3" t="s">
        <v>188</v>
      </c>
      <c r="D96" s="3" t="s">
        <v>2</v>
      </c>
      <c r="F96" s="3" t="s">
        <v>13</v>
      </c>
      <c r="G96" s="4">
        <v>958.5</v>
      </c>
      <c r="H96" s="4">
        <f t="shared" si="1"/>
        <v>1065</v>
      </c>
      <c r="I96" s="3" t="s">
        <v>193</v>
      </c>
      <c r="J96" s="3" t="s">
        <v>190</v>
      </c>
      <c r="K96" s="3" t="s">
        <v>191</v>
      </c>
    </row>
    <row r="97" spans="1:11" ht="25" customHeight="1">
      <c r="A97" s="3" t="s">
        <v>197</v>
      </c>
      <c r="B97" s="3">
        <v>5</v>
      </c>
      <c r="C97" s="3" t="s">
        <v>198</v>
      </c>
      <c r="D97" s="3" t="s">
        <v>2</v>
      </c>
      <c r="F97" s="3" t="s">
        <v>4</v>
      </c>
      <c r="G97" s="4">
        <v>58.5</v>
      </c>
      <c r="H97" s="4">
        <f t="shared" si="1"/>
        <v>65</v>
      </c>
      <c r="I97" s="3" t="s">
        <v>199</v>
      </c>
      <c r="J97" s="3" t="s">
        <v>200</v>
      </c>
      <c r="K97" s="3" t="s">
        <v>201</v>
      </c>
    </row>
    <row r="98" spans="1:11" ht="25" customHeight="1">
      <c r="A98" s="3" t="s">
        <v>202</v>
      </c>
      <c r="B98" s="3">
        <v>5</v>
      </c>
      <c r="C98" s="3" t="s">
        <v>198</v>
      </c>
      <c r="D98" s="3" t="s">
        <v>2</v>
      </c>
      <c r="F98" s="3" t="s">
        <v>9</v>
      </c>
      <c r="G98" s="4">
        <v>139.5</v>
      </c>
      <c r="H98" s="4">
        <f t="shared" si="1"/>
        <v>155</v>
      </c>
      <c r="I98" s="3" t="s">
        <v>199</v>
      </c>
      <c r="J98" s="3" t="s">
        <v>200</v>
      </c>
      <c r="K98" s="3" t="s">
        <v>201</v>
      </c>
    </row>
    <row r="99" spans="1:11" ht="25" customHeight="1">
      <c r="A99" s="3" t="s">
        <v>203</v>
      </c>
      <c r="B99" s="3">
        <v>5</v>
      </c>
      <c r="C99" s="3" t="s">
        <v>198</v>
      </c>
      <c r="D99" s="3" t="s">
        <v>2</v>
      </c>
      <c r="F99" s="3" t="s">
        <v>11</v>
      </c>
      <c r="G99" s="4">
        <v>332.1</v>
      </c>
      <c r="H99" s="4">
        <f t="shared" si="1"/>
        <v>369</v>
      </c>
      <c r="I99" s="3" t="s">
        <v>199</v>
      </c>
      <c r="J99" s="3" t="s">
        <v>200</v>
      </c>
      <c r="K99" s="3" t="s">
        <v>201</v>
      </c>
    </row>
    <row r="100" spans="1:11" ht="25" customHeight="1">
      <c r="A100" s="3" t="s">
        <v>204</v>
      </c>
      <c r="B100" s="3">
        <v>5</v>
      </c>
      <c r="C100" s="3" t="s">
        <v>198</v>
      </c>
      <c r="D100" s="3" t="s">
        <v>2</v>
      </c>
      <c r="F100" s="3" t="s">
        <v>13</v>
      </c>
      <c r="G100" s="4">
        <v>625.5</v>
      </c>
      <c r="H100" s="4">
        <f t="shared" si="1"/>
        <v>695</v>
      </c>
      <c r="I100" s="3" t="s">
        <v>199</v>
      </c>
      <c r="J100" s="3" t="s">
        <v>200</v>
      </c>
      <c r="K100" s="3" t="s">
        <v>201</v>
      </c>
    </row>
    <row r="101" spans="1:11" ht="25" customHeight="1">
      <c r="A101" s="3" t="s">
        <v>205</v>
      </c>
      <c r="B101" s="3">
        <v>5</v>
      </c>
      <c r="C101" s="3" t="s">
        <v>206</v>
      </c>
      <c r="D101" s="3" t="s">
        <v>58</v>
      </c>
      <c r="F101" s="3" t="s">
        <v>207</v>
      </c>
      <c r="G101" s="4">
        <v>14.585714285714287</v>
      </c>
      <c r="H101" s="4">
        <f t="shared" si="1"/>
        <v>16.206349206349209</v>
      </c>
      <c r="I101" s="3" t="s">
        <v>208</v>
      </c>
      <c r="J101" s="3" t="s">
        <v>209</v>
      </c>
      <c r="K101" s="3" t="s">
        <v>210</v>
      </c>
    </row>
    <row r="102" spans="1:11" ht="25" customHeight="1">
      <c r="A102" s="3" t="s">
        <v>211</v>
      </c>
      <c r="B102" s="3">
        <v>5</v>
      </c>
      <c r="C102" s="3" t="s">
        <v>212</v>
      </c>
      <c r="D102" s="3" t="s">
        <v>58</v>
      </c>
      <c r="F102" s="3" t="s">
        <v>207</v>
      </c>
      <c r="G102" s="4">
        <v>29.828571428571429</v>
      </c>
      <c r="H102" s="4">
        <f t="shared" si="1"/>
        <v>33.142857142857146</v>
      </c>
      <c r="I102" s="3" t="s">
        <v>213</v>
      </c>
      <c r="J102" s="3" t="s">
        <v>214</v>
      </c>
      <c r="K102" s="3" t="s">
        <v>214</v>
      </c>
    </row>
    <row r="103" spans="1:11" ht="25" customHeight="1">
      <c r="A103" s="3" t="s">
        <v>215</v>
      </c>
      <c r="B103" s="3">
        <v>5</v>
      </c>
      <c r="C103" s="3" t="s">
        <v>216</v>
      </c>
      <c r="D103" s="3" t="s">
        <v>58</v>
      </c>
      <c r="F103" s="3" t="s">
        <v>217</v>
      </c>
      <c r="G103" s="4">
        <v>66.285714285714292</v>
      </c>
      <c r="H103" s="4">
        <f t="shared" si="1"/>
        <v>73.650793650793659</v>
      </c>
      <c r="I103" s="3" t="s">
        <v>218</v>
      </c>
      <c r="J103" s="3" t="s">
        <v>219</v>
      </c>
      <c r="K103" s="3" t="s">
        <v>220</v>
      </c>
    </row>
    <row r="104" spans="1:11" ht="25" customHeight="1">
      <c r="A104" s="3" t="s">
        <v>221</v>
      </c>
      <c r="B104" s="3">
        <v>5</v>
      </c>
      <c r="C104" s="3" t="s">
        <v>222</v>
      </c>
      <c r="F104" s="3" t="s">
        <v>207</v>
      </c>
      <c r="G104" s="4">
        <v>74.571428571428584</v>
      </c>
      <c r="H104" s="4">
        <f t="shared" si="1"/>
        <v>82.857142857142875</v>
      </c>
      <c r="I104" s="3" t="s">
        <v>223</v>
      </c>
      <c r="J104" s="3" t="s">
        <v>224</v>
      </c>
      <c r="K104" s="3" t="s">
        <v>224</v>
      </c>
    </row>
    <row r="105" spans="1:11" ht="25" customHeight="1">
      <c r="A105" s="3" t="s">
        <v>225</v>
      </c>
      <c r="B105" s="3">
        <v>5</v>
      </c>
      <c r="C105" s="3" t="s">
        <v>226</v>
      </c>
      <c r="D105" s="3" t="s">
        <v>58</v>
      </c>
      <c r="F105" s="3" t="s">
        <v>207</v>
      </c>
      <c r="G105" s="4">
        <v>41.428571428571431</v>
      </c>
      <c r="H105" s="4">
        <f t="shared" si="1"/>
        <v>46.031746031746032</v>
      </c>
      <c r="I105" s="3" t="s">
        <v>227</v>
      </c>
      <c r="J105" s="3" t="s">
        <v>228</v>
      </c>
      <c r="K105" s="3" t="s">
        <v>228</v>
      </c>
    </row>
    <row r="106" spans="1:11" ht="25" customHeight="1">
      <c r="A106" s="3" t="s">
        <v>229</v>
      </c>
      <c r="B106" s="3">
        <v>9</v>
      </c>
      <c r="C106" s="3" t="s">
        <v>230</v>
      </c>
      <c r="D106" s="3" t="s">
        <v>2</v>
      </c>
      <c r="F106" s="3" t="s">
        <v>4</v>
      </c>
      <c r="G106" s="4">
        <v>71.099999999999994</v>
      </c>
      <c r="H106" s="4">
        <f t="shared" si="1"/>
        <v>78.999999999999986</v>
      </c>
      <c r="I106" s="3" t="s">
        <v>231</v>
      </c>
      <c r="J106" s="3" t="s">
        <v>232</v>
      </c>
      <c r="K106" s="3" t="s">
        <v>233</v>
      </c>
    </row>
    <row r="107" spans="1:11" ht="25" customHeight="1">
      <c r="A107" s="3" t="s">
        <v>234</v>
      </c>
      <c r="B107" s="3">
        <v>9</v>
      </c>
      <c r="C107" s="3" t="s">
        <v>230</v>
      </c>
      <c r="D107" s="3" t="s">
        <v>2</v>
      </c>
      <c r="F107" s="3" t="s">
        <v>9</v>
      </c>
      <c r="G107" s="4">
        <v>197.1</v>
      </c>
      <c r="H107" s="4">
        <f t="shared" si="1"/>
        <v>219</v>
      </c>
      <c r="I107" s="3" t="s">
        <v>231</v>
      </c>
      <c r="J107" s="3" t="s">
        <v>232</v>
      </c>
      <c r="K107" s="3" t="s">
        <v>233</v>
      </c>
    </row>
    <row r="108" spans="1:11" ht="25" customHeight="1">
      <c r="A108" s="3" t="s">
        <v>235</v>
      </c>
      <c r="B108" s="3">
        <v>9</v>
      </c>
      <c r="C108" s="3" t="s">
        <v>230</v>
      </c>
      <c r="D108" s="3" t="s">
        <v>2</v>
      </c>
      <c r="F108" s="3" t="s">
        <v>11</v>
      </c>
      <c r="G108" s="4">
        <v>472.5</v>
      </c>
      <c r="H108" s="4">
        <f t="shared" si="1"/>
        <v>525</v>
      </c>
      <c r="J108" s="3" t="s">
        <v>232</v>
      </c>
      <c r="K108" s="3" t="s">
        <v>233</v>
      </c>
    </row>
    <row r="109" spans="1:11" ht="25" customHeight="1">
      <c r="A109" s="3" t="s">
        <v>236</v>
      </c>
      <c r="B109" s="3">
        <v>9</v>
      </c>
      <c r="C109" s="3" t="s">
        <v>230</v>
      </c>
      <c r="D109" s="3" t="s">
        <v>2</v>
      </c>
      <c r="F109" s="3" t="s">
        <v>13</v>
      </c>
      <c r="G109" s="4">
        <v>900</v>
      </c>
      <c r="H109" s="4">
        <f t="shared" si="1"/>
        <v>1000</v>
      </c>
      <c r="J109" s="3" t="s">
        <v>232</v>
      </c>
      <c r="K109" s="3" t="s">
        <v>233</v>
      </c>
    </row>
    <row r="110" spans="1:11" ht="25" customHeight="1">
      <c r="A110" s="3" t="s">
        <v>237</v>
      </c>
      <c r="B110" s="3">
        <v>9</v>
      </c>
      <c r="C110" s="3" t="s">
        <v>238</v>
      </c>
      <c r="D110" s="3" t="s">
        <v>58</v>
      </c>
      <c r="F110" s="3" t="s">
        <v>239</v>
      </c>
      <c r="G110" s="4">
        <v>66.285714285714292</v>
      </c>
      <c r="H110" s="4">
        <f t="shared" si="1"/>
        <v>73.650793650793659</v>
      </c>
      <c r="I110" s="3" t="s">
        <v>240</v>
      </c>
      <c r="J110" s="3" t="s">
        <v>241</v>
      </c>
      <c r="K110" s="3" t="s">
        <v>242</v>
      </c>
    </row>
    <row r="111" spans="1:11" ht="25" customHeight="1">
      <c r="A111" s="3" t="s">
        <v>243</v>
      </c>
      <c r="B111" s="3">
        <v>9</v>
      </c>
      <c r="C111" s="3" t="s">
        <v>244</v>
      </c>
      <c r="F111" s="3" t="s">
        <v>245</v>
      </c>
      <c r="G111" s="4">
        <v>48.057142857142864</v>
      </c>
      <c r="H111" s="4">
        <f t="shared" si="1"/>
        <v>53.396825396825406</v>
      </c>
      <c r="I111" s="3" t="s">
        <v>246</v>
      </c>
      <c r="J111" s="3" t="s">
        <v>247</v>
      </c>
      <c r="K111" s="3" t="s">
        <v>248</v>
      </c>
    </row>
    <row r="112" spans="1:11" ht="25" customHeight="1">
      <c r="A112" s="3" t="s">
        <v>249</v>
      </c>
      <c r="B112" s="3">
        <v>9</v>
      </c>
      <c r="C112" s="3" t="s">
        <v>250</v>
      </c>
      <c r="F112" s="3" t="s">
        <v>245</v>
      </c>
      <c r="G112" s="4">
        <v>82.857142857142861</v>
      </c>
      <c r="H112" s="4">
        <f t="shared" si="1"/>
        <v>92.063492063492063</v>
      </c>
      <c r="I112" s="3" t="s">
        <v>251</v>
      </c>
      <c r="J112" s="3" t="s">
        <v>252</v>
      </c>
      <c r="K112" s="3" t="s">
        <v>253</v>
      </c>
    </row>
    <row r="113" spans="1:11" ht="25" customHeight="1">
      <c r="A113" s="3" t="s">
        <v>254</v>
      </c>
      <c r="B113" s="3">
        <v>4</v>
      </c>
      <c r="C113" s="3" t="s">
        <v>255</v>
      </c>
      <c r="F113" s="3" t="s">
        <v>207</v>
      </c>
      <c r="G113" s="4"/>
      <c r="H113" s="4" t="str">
        <f t="shared" si="1"/>
        <v/>
      </c>
      <c r="I113" s="3" t="s">
        <v>256</v>
      </c>
      <c r="J113" s="3" t="s">
        <v>257</v>
      </c>
      <c r="K113" s="3" t="s">
        <v>258</v>
      </c>
    </row>
    <row r="114" spans="1:11" ht="25" customHeight="1">
      <c r="A114" s="3" t="s">
        <v>259</v>
      </c>
      <c r="B114" s="3">
        <v>4</v>
      </c>
      <c r="C114" s="3" t="s">
        <v>260</v>
      </c>
      <c r="F114" s="3" t="s">
        <v>207</v>
      </c>
      <c r="G114" s="4">
        <v>91.828571428571436</v>
      </c>
      <c r="H114" s="4">
        <f t="shared" si="1"/>
        <v>102.03174603174604</v>
      </c>
      <c r="I114" s="3" t="s">
        <v>261</v>
      </c>
      <c r="J114" s="3" t="s">
        <v>262</v>
      </c>
      <c r="K114" s="3" t="s">
        <v>263</v>
      </c>
    </row>
    <row r="115" spans="1:11" ht="25" customHeight="1">
      <c r="A115" s="3" t="s">
        <v>264</v>
      </c>
      <c r="B115" s="3">
        <v>4</v>
      </c>
      <c r="C115" s="3" t="s">
        <v>265</v>
      </c>
      <c r="D115" s="3" t="s">
        <v>266</v>
      </c>
      <c r="F115" s="3" t="s">
        <v>267</v>
      </c>
      <c r="G115" s="4">
        <v>82.857142857142861</v>
      </c>
      <c r="H115" s="4">
        <f t="shared" si="1"/>
        <v>92.063492063492063</v>
      </c>
      <c r="I115" s="3" t="s">
        <v>268</v>
      </c>
      <c r="J115" s="3" t="s">
        <v>269</v>
      </c>
      <c r="K115" s="3" t="s">
        <v>269</v>
      </c>
    </row>
    <row r="116" spans="1:11" ht="25" customHeight="1">
      <c r="A116" s="3" t="s">
        <v>270</v>
      </c>
      <c r="B116" s="3">
        <v>4</v>
      </c>
      <c r="C116" s="3" t="s">
        <v>271</v>
      </c>
      <c r="D116" s="3" t="s">
        <v>272</v>
      </c>
      <c r="F116" s="3" t="s">
        <v>207</v>
      </c>
      <c r="G116" s="4">
        <v>28.171428571428571</v>
      </c>
      <c r="H116" s="4">
        <f t="shared" si="1"/>
        <v>31.301587301587301</v>
      </c>
      <c r="I116" s="3" t="s">
        <v>273</v>
      </c>
      <c r="J116" s="3" t="s">
        <v>274</v>
      </c>
      <c r="K116" s="3" t="s">
        <v>275</v>
      </c>
    </row>
    <row r="117" spans="1:11" ht="25" customHeight="1">
      <c r="A117" s="3" t="s">
        <v>276</v>
      </c>
      <c r="B117" s="3">
        <v>4</v>
      </c>
      <c r="C117" s="3" t="s">
        <v>277</v>
      </c>
      <c r="F117" s="3" t="s">
        <v>207</v>
      </c>
      <c r="G117" s="4">
        <v>88.385714285714286</v>
      </c>
      <c r="H117" s="4">
        <f t="shared" si="1"/>
        <v>98.206349206349202</v>
      </c>
      <c r="I117" s="3" t="s">
        <v>278</v>
      </c>
      <c r="J117" s="3" t="s">
        <v>262</v>
      </c>
      <c r="K117" s="3" t="s">
        <v>263</v>
      </c>
    </row>
    <row r="118" spans="1:11" ht="25" customHeight="1">
      <c r="A118" s="3" t="s">
        <v>279</v>
      </c>
      <c r="B118" s="3">
        <v>4</v>
      </c>
      <c r="C118" s="3" t="s">
        <v>280</v>
      </c>
      <c r="F118" s="3" t="s">
        <v>207</v>
      </c>
      <c r="G118" s="4">
        <v>5.8</v>
      </c>
      <c r="H118" s="4">
        <f t="shared" si="1"/>
        <v>6.4444444444444438</v>
      </c>
      <c r="I118" s="3" t="s">
        <v>281</v>
      </c>
      <c r="J118" s="3" t="s">
        <v>282</v>
      </c>
      <c r="K118" s="3" t="s">
        <v>283</v>
      </c>
    </row>
    <row r="119" spans="1:11" ht="25" customHeight="1">
      <c r="A119" s="3" t="s">
        <v>284</v>
      </c>
      <c r="B119" s="3">
        <v>4</v>
      </c>
      <c r="C119" s="3" t="s">
        <v>285</v>
      </c>
      <c r="F119" s="3" t="s">
        <v>207</v>
      </c>
      <c r="G119" s="4">
        <v>48.885714285714286</v>
      </c>
      <c r="H119" s="4">
        <f t="shared" si="1"/>
        <v>54.317460317460316</v>
      </c>
      <c r="I119" s="3" t="s">
        <v>286</v>
      </c>
      <c r="J119" s="3" t="s">
        <v>287</v>
      </c>
      <c r="K119" s="3" t="s">
        <v>288</v>
      </c>
    </row>
    <row r="120" spans="1:11" ht="25" customHeight="1">
      <c r="A120" s="3" t="s">
        <v>289</v>
      </c>
      <c r="B120" s="3">
        <v>4</v>
      </c>
      <c r="C120" s="3" t="s">
        <v>290</v>
      </c>
      <c r="F120" s="3" t="s">
        <v>207</v>
      </c>
      <c r="G120" s="4">
        <v>5.8</v>
      </c>
      <c r="H120" s="4">
        <f t="shared" si="1"/>
        <v>6.4444444444444438</v>
      </c>
      <c r="I120" s="3" t="s">
        <v>291</v>
      </c>
      <c r="J120" s="3" t="s">
        <v>282</v>
      </c>
      <c r="K120" s="3" t="s">
        <v>283</v>
      </c>
    </row>
    <row r="121" spans="1:11" ht="25" customHeight="1">
      <c r="A121" s="3" t="s">
        <v>292</v>
      </c>
      <c r="B121" s="3">
        <v>4</v>
      </c>
      <c r="C121" s="3" t="s">
        <v>293</v>
      </c>
      <c r="F121" s="3" t="s">
        <v>207</v>
      </c>
      <c r="G121" s="4">
        <v>12.428571428571429</v>
      </c>
      <c r="H121" s="4">
        <f t="shared" si="1"/>
        <v>13.80952380952381</v>
      </c>
      <c r="I121" s="3" t="s">
        <v>294</v>
      </c>
      <c r="J121" s="3" t="s">
        <v>282</v>
      </c>
      <c r="K121" s="3" t="s">
        <v>283</v>
      </c>
    </row>
    <row r="122" spans="1:11" ht="25" customHeight="1">
      <c r="A122" s="3" t="s">
        <v>295</v>
      </c>
      <c r="B122" s="3">
        <v>4</v>
      </c>
      <c r="C122" s="3" t="s">
        <v>296</v>
      </c>
      <c r="F122" s="3" t="s">
        <v>4</v>
      </c>
      <c r="G122" s="4"/>
      <c r="H122" s="4" t="str">
        <f t="shared" si="1"/>
        <v/>
      </c>
      <c r="I122" s="3" t="s">
        <v>297</v>
      </c>
      <c r="J122" s="3" t="s">
        <v>298</v>
      </c>
      <c r="K122" s="3" t="s">
        <v>299</v>
      </c>
    </row>
    <row r="123" spans="1:11" ht="25" customHeight="1">
      <c r="A123" s="3" t="s">
        <v>300</v>
      </c>
      <c r="B123" s="3">
        <v>4</v>
      </c>
      <c r="C123" s="3" t="s">
        <v>301</v>
      </c>
      <c r="F123" s="3" t="s">
        <v>207</v>
      </c>
      <c r="G123" s="4">
        <v>136.71428571428572</v>
      </c>
      <c r="H123" s="4">
        <f t="shared" si="1"/>
        <v>151.9047619047619</v>
      </c>
      <c r="I123" s="3" t="s">
        <v>302</v>
      </c>
      <c r="J123" s="3" t="s">
        <v>303</v>
      </c>
      <c r="K123" s="3" t="s">
        <v>303</v>
      </c>
    </row>
    <row r="124" spans="1:11" ht="25" customHeight="1">
      <c r="A124" s="3" t="s">
        <v>304</v>
      </c>
      <c r="B124" s="3">
        <v>4</v>
      </c>
      <c r="C124" s="3" t="s">
        <v>305</v>
      </c>
      <c r="F124" s="3" t="s">
        <v>207</v>
      </c>
      <c r="G124" s="4">
        <v>95.971428571428589</v>
      </c>
      <c r="H124" s="4">
        <f t="shared" si="1"/>
        <v>106.63492063492065</v>
      </c>
      <c r="I124" s="3" t="s">
        <v>306</v>
      </c>
      <c r="J124" s="3" t="s">
        <v>303</v>
      </c>
      <c r="K124" s="3" t="s">
        <v>303</v>
      </c>
    </row>
    <row r="125" spans="1:11" ht="25" customHeight="1">
      <c r="A125" s="3" t="s">
        <v>307</v>
      </c>
      <c r="B125" s="3">
        <v>4</v>
      </c>
      <c r="C125" s="3" t="s">
        <v>308</v>
      </c>
      <c r="F125" s="3" t="s">
        <v>207</v>
      </c>
      <c r="G125" s="4">
        <v>38.94285714285715</v>
      </c>
      <c r="H125" s="4">
        <f t="shared" si="1"/>
        <v>43.26984126984128</v>
      </c>
      <c r="I125" s="3" t="s">
        <v>309</v>
      </c>
      <c r="J125" s="3" t="s">
        <v>310</v>
      </c>
      <c r="K125" s="3" t="s">
        <v>310</v>
      </c>
    </row>
    <row r="126" spans="1:11" ht="25" customHeight="1">
      <c r="A126" s="3" t="s">
        <v>311</v>
      </c>
      <c r="B126" s="3">
        <v>4</v>
      </c>
      <c r="C126" s="3" t="s">
        <v>312</v>
      </c>
      <c r="F126" s="3" t="s">
        <v>313</v>
      </c>
      <c r="G126" s="4">
        <v>44.742857142857147</v>
      </c>
      <c r="H126" s="4">
        <f t="shared" si="1"/>
        <v>49.714285714285715</v>
      </c>
      <c r="I126" s="3" t="s">
        <v>314</v>
      </c>
      <c r="J126" s="3" t="s">
        <v>315</v>
      </c>
      <c r="K126" s="3" t="s">
        <v>316</v>
      </c>
    </row>
    <row r="127" spans="1:11" ht="25" customHeight="1">
      <c r="A127" s="3" t="s">
        <v>317</v>
      </c>
      <c r="B127" s="3">
        <v>4</v>
      </c>
      <c r="C127" s="3" t="s">
        <v>312</v>
      </c>
      <c r="F127" s="3" t="s">
        <v>318</v>
      </c>
      <c r="G127" s="4">
        <v>51.371428571428574</v>
      </c>
      <c r="H127" s="4">
        <f t="shared" si="1"/>
        <v>57.079365079365083</v>
      </c>
      <c r="I127" s="3" t="s">
        <v>314</v>
      </c>
      <c r="J127" s="3" t="s">
        <v>315</v>
      </c>
      <c r="K127" s="3" t="s">
        <v>319</v>
      </c>
    </row>
    <row r="128" spans="1:11" ht="25" customHeight="1">
      <c r="A128" s="3" t="s">
        <v>320</v>
      </c>
      <c r="B128" s="3">
        <v>4</v>
      </c>
      <c r="C128" s="3" t="s">
        <v>312</v>
      </c>
      <c r="F128" s="3" t="s">
        <v>321</v>
      </c>
      <c r="G128" s="4">
        <v>77.8857142857143</v>
      </c>
      <c r="H128" s="4">
        <f t="shared" si="1"/>
        <v>86.539682539682559</v>
      </c>
      <c r="I128" s="3" t="s">
        <v>314</v>
      </c>
      <c r="J128" s="3" t="s">
        <v>315</v>
      </c>
      <c r="K128" s="3" t="s">
        <v>322</v>
      </c>
    </row>
    <row r="129" spans="1:11" ht="25" customHeight="1">
      <c r="A129" s="3" t="s">
        <v>323</v>
      </c>
      <c r="B129" s="3">
        <v>4</v>
      </c>
      <c r="C129" s="3" t="s">
        <v>324</v>
      </c>
      <c r="F129" s="3" t="s">
        <v>207</v>
      </c>
      <c r="G129" s="4">
        <v>80.371428571428581</v>
      </c>
      <c r="H129" s="4">
        <f t="shared" si="1"/>
        <v>89.301587301587304</v>
      </c>
      <c r="I129" s="3" t="s">
        <v>325</v>
      </c>
      <c r="J129" s="3" t="s">
        <v>310</v>
      </c>
      <c r="K129" s="3" t="s">
        <v>310</v>
      </c>
    </row>
    <row r="130" spans="1:11" ht="25" customHeight="1">
      <c r="A130" s="3" t="s">
        <v>326</v>
      </c>
      <c r="B130" s="3">
        <v>4</v>
      </c>
      <c r="C130" s="3" t="s">
        <v>327</v>
      </c>
      <c r="F130" s="3" t="s">
        <v>207</v>
      </c>
      <c r="G130" s="4">
        <v>11.6</v>
      </c>
      <c r="H130" s="4">
        <f t="shared" ref="H130:H193" si="2">IF(G130="","",G130/(1-$M$1))</f>
        <v>12.888888888888888</v>
      </c>
      <c r="I130" s="3" t="s">
        <v>328</v>
      </c>
      <c r="J130" s="3" t="s">
        <v>282</v>
      </c>
      <c r="K130" s="3" t="s">
        <v>283</v>
      </c>
    </row>
    <row r="131" spans="1:11" ht="25" customHeight="1">
      <c r="A131" s="3" t="s">
        <v>329</v>
      </c>
      <c r="B131" s="3">
        <v>4</v>
      </c>
      <c r="C131" s="3" t="s">
        <v>330</v>
      </c>
      <c r="F131" s="3" t="s">
        <v>207</v>
      </c>
      <c r="G131" s="4">
        <v>75.95714285714287</v>
      </c>
      <c r="H131" s="4">
        <f t="shared" si="2"/>
        <v>84.396825396825406</v>
      </c>
      <c r="I131" s="3" t="s">
        <v>331</v>
      </c>
      <c r="J131" s="3" t="s">
        <v>303</v>
      </c>
      <c r="K131" s="3" t="s">
        <v>303</v>
      </c>
    </row>
    <row r="132" spans="1:11" ht="25" customHeight="1">
      <c r="A132" s="3" t="s">
        <v>332</v>
      </c>
      <c r="B132" s="3">
        <v>4</v>
      </c>
      <c r="C132" s="3" t="s">
        <v>333</v>
      </c>
      <c r="F132" s="3" t="s">
        <v>207</v>
      </c>
      <c r="G132" s="4">
        <v>16.571428571428573</v>
      </c>
      <c r="H132" s="4">
        <f t="shared" si="2"/>
        <v>18.412698412698415</v>
      </c>
      <c r="I132" s="3" t="s">
        <v>334</v>
      </c>
      <c r="J132" s="3" t="s">
        <v>335</v>
      </c>
      <c r="K132" s="3" t="s">
        <v>336</v>
      </c>
    </row>
    <row r="133" spans="1:11" ht="25" customHeight="1">
      <c r="A133" s="3" t="s">
        <v>337</v>
      </c>
      <c r="B133" s="3">
        <v>4</v>
      </c>
      <c r="C133" s="3" t="s">
        <v>338</v>
      </c>
      <c r="D133" s="3" t="s">
        <v>339</v>
      </c>
      <c r="F133" s="3" t="s">
        <v>340</v>
      </c>
      <c r="G133" s="4">
        <v>114.34285714285716</v>
      </c>
      <c r="H133" s="4">
        <f t="shared" si="2"/>
        <v>127.04761904761907</v>
      </c>
      <c r="I133" s="3" t="s">
        <v>341</v>
      </c>
      <c r="J133" s="3" t="s">
        <v>342</v>
      </c>
      <c r="K133" s="3" t="s">
        <v>343</v>
      </c>
    </row>
    <row r="134" spans="1:11" ht="25" customHeight="1">
      <c r="A134" s="3" t="s">
        <v>344</v>
      </c>
      <c r="B134" s="3">
        <v>4</v>
      </c>
      <c r="C134" s="3" t="s">
        <v>345</v>
      </c>
      <c r="D134" s="3" t="s">
        <v>339</v>
      </c>
      <c r="F134" s="3" t="s">
        <v>207</v>
      </c>
      <c r="G134" s="4"/>
      <c r="H134" s="4" t="str">
        <f t="shared" si="2"/>
        <v/>
      </c>
      <c r="I134" s="3" t="s">
        <v>346</v>
      </c>
      <c r="J134" s="3" t="s">
        <v>262</v>
      </c>
      <c r="K134" s="3" t="s">
        <v>263</v>
      </c>
    </row>
    <row r="135" spans="1:11" ht="25" customHeight="1">
      <c r="A135" s="3" t="s">
        <v>347</v>
      </c>
      <c r="B135" s="3">
        <v>4</v>
      </c>
      <c r="C135" s="3" t="s">
        <v>348</v>
      </c>
      <c r="F135" s="3" t="s">
        <v>207</v>
      </c>
      <c r="G135" s="4">
        <v>78.028571428571425</v>
      </c>
      <c r="H135" s="4">
        <f t="shared" si="2"/>
        <v>86.698412698412696</v>
      </c>
      <c r="I135" s="3" t="s">
        <v>349</v>
      </c>
      <c r="J135" s="3" t="s">
        <v>262</v>
      </c>
      <c r="K135" s="3" t="s">
        <v>263</v>
      </c>
    </row>
    <row r="136" spans="1:11" ht="25" customHeight="1">
      <c r="A136" s="3" t="s">
        <v>350</v>
      </c>
      <c r="B136" s="3">
        <v>4</v>
      </c>
      <c r="C136" s="3" t="s">
        <v>351</v>
      </c>
      <c r="F136" s="3" t="s">
        <v>313</v>
      </c>
      <c r="G136" s="4">
        <v>102.74285714285715</v>
      </c>
      <c r="H136" s="4">
        <f t="shared" si="2"/>
        <v>114.15873015873017</v>
      </c>
      <c r="I136" s="3" t="s">
        <v>352</v>
      </c>
      <c r="J136" s="3" t="s">
        <v>353</v>
      </c>
      <c r="K136" s="3" t="s">
        <v>354</v>
      </c>
    </row>
    <row r="137" spans="1:11" ht="25" customHeight="1">
      <c r="A137" s="3" t="s">
        <v>355</v>
      </c>
      <c r="B137" s="3">
        <v>4</v>
      </c>
      <c r="C137" s="3" t="s">
        <v>351</v>
      </c>
      <c r="F137" s="3" t="s">
        <v>318</v>
      </c>
      <c r="G137" s="4">
        <v>116.00000000000001</v>
      </c>
      <c r="H137" s="4">
        <f t="shared" si="2"/>
        <v>128.88888888888891</v>
      </c>
      <c r="I137" s="3" t="s">
        <v>352</v>
      </c>
      <c r="J137" s="3" t="s">
        <v>353</v>
      </c>
      <c r="K137" s="3" t="s">
        <v>354</v>
      </c>
    </row>
    <row r="138" spans="1:11" ht="25" customHeight="1">
      <c r="A138" s="3" t="s">
        <v>356</v>
      </c>
      <c r="B138" s="3">
        <v>4</v>
      </c>
      <c r="C138" s="3" t="s">
        <v>351</v>
      </c>
      <c r="F138" s="3" t="s">
        <v>321</v>
      </c>
      <c r="G138" s="4">
        <v>159.08571428571429</v>
      </c>
      <c r="H138" s="4">
        <f t="shared" si="2"/>
        <v>176.76190476190476</v>
      </c>
      <c r="I138" s="3" t="s">
        <v>352</v>
      </c>
      <c r="J138" s="3" t="s">
        <v>353</v>
      </c>
      <c r="K138" s="3" t="s">
        <v>354</v>
      </c>
    </row>
    <row r="139" spans="1:11" ht="25" customHeight="1">
      <c r="A139" s="3" t="s">
        <v>357</v>
      </c>
      <c r="B139" s="3">
        <v>4</v>
      </c>
      <c r="C139" s="3" t="s">
        <v>358</v>
      </c>
      <c r="F139" s="3" t="s">
        <v>207</v>
      </c>
      <c r="G139" s="4">
        <v>87</v>
      </c>
      <c r="H139" s="4">
        <f t="shared" si="2"/>
        <v>96.666666666666657</v>
      </c>
      <c r="I139" s="3" t="s">
        <v>359</v>
      </c>
      <c r="J139" s="3" t="s">
        <v>310</v>
      </c>
      <c r="K139" s="3" t="s">
        <v>310</v>
      </c>
    </row>
    <row r="140" spans="1:11" ht="25" customHeight="1">
      <c r="A140" s="3" t="s">
        <v>360</v>
      </c>
      <c r="B140" s="3">
        <v>4</v>
      </c>
      <c r="C140" s="3" t="s">
        <v>361</v>
      </c>
      <c r="D140" s="3" t="s">
        <v>339</v>
      </c>
      <c r="F140" s="3" t="s">
        <v>207</v>
      </c>
      <c r="G140" s="4">
        <v>124.28571428571429</v>
      </c>
      <c r="H140" s="4">
        <f t="shared" si="2"/>
        <v>138.0952380952381</v>
      </c>
      <c r="I140" s="3" t="s">
        <v>362</v>
      </c>
      <c r="J140" s="3" t="s">
        <v>310</v>
      </c>
      <c r="K140" s="3" t="s">
        <v>310</v>
      </c>
    </row>
    <row r="141" spans="1:11" ht="25" customHeight="1">
      <c r="A141" s="3" t="s">
        <v>363</v>
      </c>
      <c r="B141" s="3">
        <v>4</v>
      </c>
      <c r="C141" s="3" t="s">
        <v>364</v>
      </c>
      <c r="D141" s="3" t="s">
        <v>339</v>
      </c>
      <c r="F141" s="3" t="s">
        <v>207</v>
      </c>
      <c r="G141" s="4">
        <v>147.48571428571429</v>
      </c>
      <c r="H141" s="4">
        <f t="shared" si="2"/>
        <v>163.87301587301587</v>
      </c>
      <c r="I141" s="3" t="s">
        <v>365</v>
      </c>
      <c r="J141" s="3" t="s">
        <v>310</v>
      </c>
      <c r="K141" s="3" t="s">
        <v>310</v>
      </c>
    </row>
    <row r="142" spans="1:11" ht="25" customHeight="1">
      <c r="A142" s="3" t="s">
        <v>366</v>
      </c>
      <c r="B142" s="3">
        <v>4</v>
      </c>
      <c r="C142" s="3" t="s">
        <v>367</v>
      </c>
      <c r="F142" s="3" t="s">
        <v>207</v>
      </c>
      <c r="G142" s="4">
        <v>49.714285714285715</v>
      </c>
      <c r="H142" s="4">
        <f t="shared" si="2"/>
        <v>55.238095238095241</v>
      </c>
      <c r="I142" s="3" t="s">
        <v>368</v>
      </c>
      <c r="J142" s="3" t="s">
        <v>369</v>
      </c>
      <c r="K142" s="3" t="s">
        <v>369</v>
      </c>
    </row>
    <row r="143" spans="1:11" ht="25" customHeight="1">
      <c r="A143" s="3" t="s">
        <v>370</v>
      </c>
      <c r="B143" s="3">
        <v>4</v>
      </c>
      <c r="C143" s="3" t="s">
        <v>367</v>
      </c>
      <c r="F143" s="3" t="s">
        <v>207</v>
      </c>
      <c r="G143" s="4">
        <v>74.571428571428584</v>
      </c>
      <c r="H143" s="4">
        <f t="shared" si="2"/>
        <v>82.857142857142875</v>
      </c>
      <c r="I143" s="3" t="s">
        <v>368</v>
      </c>
      <c r="J143" s="3" t="s">
        <v>369</v>
      </c>
      <c r="K143" s="3" t="s">
        <v>369</v>
      </c>
    </row>
    <row r="144" spans="1:11" ht="25" customHeight="1">
      <c r="A144" s="3" t="s">
        <v>371</v>
      </c>
      <c r="B144" s="3">
        <v>4</v>
      </c>
      <c r="C144" s="3" t="s">
        <v>372</v>
      </c>
      <c r="F144" s="3" t="s">
        <v>207</v>
      </c>
      <c r="G144" s="4">
        <v>74.571428571428584</v>
      </c>
      <c r="H144" s="4">
        <f t="shared" si="2"/>
        <v>82.857142857142875</v>
      </c>
      <c r="I144" s="3" t="s">
        <v>373</v>
      </c>
      <c r="J144" s="3" t="s">
        <v>303</v>
      </c>
      <c r="K144" s="3" t="s">
        <v>303</v>
      </c>
    </row>
    <row r="145" spans="1:11" ht="25" customHeight="1">
      <c r="A145" s="3" t="s">
        <v>374</v>
      </c>
      <c r="B145" s="3">
        <v>4</v>
      </c>
      <c r="C145" s="3" t="s">
        <v>375</v>
      </c>
      <c r="F145" s="3" t="s">
        <v>207</v>
      </c>
      <c r="G145" s="4"/>
      <c r="H145" s="4" t="str">
        <f t="shared" si="2"/>
        <v/>
      </c>
      <c r="I145" s="3" t="s">
        <v>376</v>
      </c>
      <c r="J145" s="3" t="s">
        <v>377</v>
      </c>
      <c r="K145" s="3" t="s">
        <v>378</v>
      </c>
    </row>
    <row r="146" spans="1:11" ht="25" customHeight="1">
      <c r="A146" s="3" t="s">
        <v>379</v>
      </c>
      <c r="B146" s="3">
        <v>4</v>
      </c>
      <c r="C146" s="3" t="s">
        <v>380</v>
      </c>
      <c r="F146" s="3" t="s">
        <v>207</v>
      </c>
      <c r="G146" s="4">
        <v>82.857142857142861</v>
      </c>
      <c r="H146" s="4">
        <f t="shared" si="2"/>
        <v>92.063492063492063</v>
      </c>
      <c r="I146" s="3" t="s">
        <v>381</v>
      </c>
      <c r="J146" s="3" t="s">
        <v>382</v>
      </c>
      <c r="K146" s="3" t="s">
        <v>382</v>
      </c>
    </row>
    <row r="147" spans="1:11" ht="25" customHeight="1">
      <c r="A147" s="3" t="s">
        <v>383</v>
      </c>
      <c r="B147" s="3">
        <v>4</v>
      </c>
      <c r="C147" s="3" t="s">
        <v>384</v>
      </c>
      <c r="F147" s="3" t="s">
        <v>207</v>
      </c>
      <c r="G147" s="4">
        <v>23.2</v>
      </c>
      <c r="H147" s="4">
        <f t="shared" si="2"/>
        <v>25.777777777777775</v>
      </c>
      <c r="I147" s="3" t="s">
        <v>385</v>
      </c>
      <c r="J147" s="3" t="s">
        <v>386</v>
      </c>
      <c r="K147" s="3" t="s">
        <v>387</v>
      </c>
    </row>
    <row r="148" spans="1:11" ht="25" customHeight="1">
      <c r="A148" s="3" t="s">
        <v>388</v>
      </c>
      <c r="B148" s="3">
        <v>4</v>
      </c>
      <c r="C148" s="3" t="s">
        <v>389</v>
      </c>
      <c r="F148" s="3" t="s">
        <v>207</v>
      </c>
      <c r="G148" s="4"/>
      <c r="H148" s="4" t="str">
        <f t="shared" si="2"/>
        <v/>
      </c>
      <c r="I148" s="3" t="s">
        <v>390</v>
      </c>
      <c r="J148" s="3" t="s">
        <v>391</v>
      </c>
      <c r="K148" s="3" t="s">
        <v>392</v>
      </c>
    </row>
    <row r="149" spans="1:11" ht="25" customHeight="1">
      <c r="A149" s="3" t="s">
        <v>393</v>
      </c>
      <c r="B149" s="3">
        <v>4</v>
      </c>
      <c r="C149" s="3" t="s">
        <v>394</v>
      </c>
      <c r="F149" s="3" t="s">
        <v>207</v>
      </c>
      <c r="G149" s="4">
        <v>45.571428571428569</v>
      </c>
      <c r="H149" s="4">
        <f t="shared" si="2"/>
        <v>50.634920634920633</v>
      </c>
      <c r="I149" s="3" t="s">
        <v>395</v>
      </c>
      <c r="J149" s="3" t="s">
        <v>396</v>
      </c>
      <c r="K149" s="3" t="s">
        <v>396</v>
      </c>
    </row>
    <row r="150" spans="1:11" ht="25" customHeight="1">
      <c r="A150" s="3" t="s">
        <v>397</v>
      </c>
      <c r="B150" s="3">
        <v>4</v>
      </c>
      <c r="C150" s="3" t="s">
        <v>398</v>
      </c>
      <c r="F150" s="3" t="s">
        <v>207</v>
      </c>
      <c r="G150" s="4">
        <v>51.371428571428574</v>
      </c>
      <c r="H150" s="4">
        <f t="shared" si="2"/>
        <v>57.079365079365083</v>
      </c>
      <c r="I150" s="3" t="s">
        <v>399</v>
      </c>
      <c r="J150" s="3" t="s">
        <v>400</v>
      </c>
      <c r="K150" s="3" t="s">
        <v>400</v>
      </c>
    </row>
    <row r="151" spans="1:11" ht="25" customHeight="1">
      <c r="A151" s="3" t="s">
        <v>401</v>
      </c>
      <c r="B151" s="3">
        <v>4</v>
      </c>
      <c r="C151" s="3" t="s">
        <v>402</v>
      </c>
      <c r="F151" s="3" t="s">
        <v>207</v>
      </c>
      <c r="G151" s="4">
        <v>53.857142857142861</v>
      </c>
      <c r="H151" s="4">
        <f t="shared" si="2"/>
        <v>59.841269841269842</v>
      </c>
      <c r="I151" s="3" t="s">
        <v>403</v>
      </c>
      <c r="J151" s="3" t="s">
        <v>404</v>
      </c>
      <c r="K151" s="3" t="s">
        <v>404</v>
      </c>
    </row>
    <row r="152" spans="1:11" ht="25" customHeight="1">
      <c r="A152" s="3" t="s">
        <v>405</v>
      </c>
      <c r="B152" s="3">
        <v>4</v>
      </c>
      <c r="C152" s="3" t="s">
        <v>406</v>
      </c>
      <c r="F152" s="3" t="s">
        <v>207</v>
      </c>
      <c r="G152" s="4">
        <v>54.68571428571429</v>
      </c>
      <c r="H152" s="4">
        <f t="shared" si="2"/>
        <v>60.761904761904766</v>
      </c>
      <c r="I152" s="3" t="s">
        <v>407</v>
      </c>
      <c r="J152" s="3" t="s">
        <v>408</v>
      </c>
      <c r="K152" s="3" t="s">
        <v>409</v>
      </c>
    </row>
    <row r="153" spans="1:11" ht="25" customHeight="1">
      <c r="A153" s="3" t="s">
        <v>410</v>
      </c>
      <c r="B153" s="3">
        <v>4</v>
      </c>
      <c r="C153" s="3" t="s">
        <v>411</v>
      </c>
      <c r="F153" s="3" t="s">
        <v>207</v>
      </c>
      <c r="G153" s="4"/>
      <c r="H153" s="4" t="str">
        <f t="shared" si="2"/>
        <v/>
      </c>
      <c r="I153" s="3" t="s">
        <v>412</v>
      </c>
      <c r="J153" s="3" t="s">
        <v>408</v>
      </c>
      <c r="K153" s="3" t="s">
        <v>409</v>
      </c>
    </row>
    <row r="154" spans="1:11" ht="25" customHeight="1">
      <c r="A154" s="3" t="s">
        <v>413</v>
      </c>
      <c r="B154" s="3">
        <v>4</v>
      </c>
      <c r="C154" s="3" t="s">
        <v>414</v>
      </c>
      <c r="F154" s="3" t="s">
        <v>207</v>
      </c>
      <c r="G154" s="4">
        <v>64.900000000000006</v>
      </c>
      <c r="H154" s="4">
        <f t="shared" si="2"/>
        <v>72.111111111111114</v>
      </c>
      <c r="I154" s="3" t="s">
        <v>415</v>
      </c>
      <c r="J154" s="3" t="s">
        <v>262</v>
      </c>
      <c r="K154" s="3" t="s">
        <v>263</v>
      </c>
    </row>
    <row r="155" spans="1:11" ht="25" customHeight="1">
      <c r="A155" s="3" t="s">
        <v>416</v>
      </c>
      <c r="B155" s="3">
        <v>4</v>
      </c>
      <c r="C155" s="3" t="s">
        <v>417</v>
      </c>
      <c r="F155" s="3" t="s">
        <v>418</v>
      </c>
      <c r="G155" s="4"/>
      <c r="H155" s="4" t="str">
        <f t="shared" si="2"/>
        <v/>
      </c>
      <c r="I155" s="3" t="s">
        <v>419</v>
      </c>
      <c r="J155" s="3" t="s">
        <v>420</v>
      </c>
      <c r="K155" s="3" t="s">
        <v>421</v>
      </c>
    </row>
    <row r="156" spans="1:11" ht="25" customHeight="1">
      <c r="A156" s="3" t="s">
        <v>422</v>
      </c>
      <c r="B156" s="3">
        <v>4</v>
      </c>
      <c r="C156" s="3" t="s">
        <v>423</v>
      </c>
      <c r="F156" s="3" t="s">
        <v>424</v>
      </c>
      <c r="G156" s="4"/>
      <c r="H156" s="4" t="str">
        <f t="shared" si="2"/>
        <v/>
      </c>
      <c r="I156" s="3" t="s">
        <v>425</v>
      </c>
      <c r="J156" s="3" t="s">
        <v>426</v>
      </c>
      <c r="K156" s="3" t="s">
        <v>426</v>
      </c>
    </row>
    <row r="157" spans="1:11" ht="25" customHeight="1">
      <c r="A157" s="3" t="s">
        <v>427</v>
      </c>
      <c r="B157" s="3">
        <v>4</v>
      </c>
      <c r="C157" s="3" t="s">
        <v>428</v>
      </c>
      <c r="F157" s="3" t="s">
        <v>207</v>
      </c>
      <c r="G157" s="4">
        <v>29.828571428571429</v>
      </c>
      <c r="H157" s="4">
        <f t="shared" si="2"/>
        <v>33.142857142857146</v>
      </c>
      <c r="I157" s="3" t="s">
        <v>429</v>
      </c>
      <c r="J157" s="3" t="s">
        <v>430</v>
      </c>
      <c r="K157" s="3" t="s">
        <v>430</v>
      </c>
    </row>
    <row r="158" spans="1:11" ht="25" customHeight="1">
      <c r="A158" s="3" t="s">
        <v>431</v>
      </c>
      <c r="B158" s="3">
        <v>4</v>
      </c>
      <c r="C158" s="3" t="s">
        <v>432</v>
      </c>
      <c r="D158" s="3" t="s">
        <v>339</v>
      </c>
      <c r="F158" s="3" t="s">
        <v>207</v>
      </c>
      <c r="G158" s="4">
        <v>96.114285714285728</v>
      </c>
      <c r="H158" s="4">
        <f t="shared" si="2"/>
        <v>106.79365079365081</v>
      </c>
      <c r="I158" s="3" t="s">
        <v>433</v>
      </c>
      <c r="J158" s="3" t="s">
        <v>430</v>
      </c>
      <c r="K158" s="3" t="s">
        <v>430</v>
      </c>
    </row>
    <row r="159" spans="1:11" ht="25" customHeight="1">
      <c r="A159" s="3" t="s">
        <v>434</v>
      </c>
      <c r="B159" s="3">
        <v>4</v>
      </c>
      <c r="C159" s="3" t="s">
        <v>435</v>
      </c>
      <c r="D159" s="3" t="s">
        <v>339</v>
      </c>
      <c r="F159" s="3" t="s">
        <v>207</v>
      </c>
      <c r="G159" s="4"/>
      <c r="H159" s="4" t="str">
        <f t="shared" si="2"/>
        <v/>
      </c>
      <c r="J159" s="3" t="s">
        <v>310</v>
      </c>
      <c r="K159" s="3" t="s">
        <v>310</v>
      </c>
    </row>
    <row r="160" spans="1:11" ht="25" customHeight="1">
      <c r="A160" s="3" t="s">
        <v>436</v>
      </c>
      <c r="B160" s="3">
        <v>4</v>
      </c>
      <c r="C160" s="3" t="s">
        <v>437</v>
      </c>
      <c r="D160" s="3" t="s">
        <v>339</v>
      </c>
      <c r="F160" s="3" t="s">
        <v>207</v>
      </c>
      <c r="G160" s="4">
        <v>96.114285714285728</v>
      </c>
      <c r="H160" s="4">
        <f t="shared" si="2"/>
        <v>106.79365079365081</v>
      </c>
      <c r="I160" s="3" t="s">
        <v>438</v>
      </c>
      <c r="J160" s="3" t="s">
        <v>287</v>
      </c>
      <c r="K160" s="3" t="s">
        <v>288</v>
      </c>
    </row>
    <row r="161" spans="1:11" ht="25" customHeight="1">
      <c r="A161" s="3" t="s">
        <v>439</v>
      </c>
      <c r="B161" s="3">
        <v>4</v>
      </c>
      <c r="C161" s="3" t="s">
        <v>440</v>
      </c>
      <c r="D161" s="3" t="s">
        <v>339</v>
      </c>
      <c r="F161" s="3" t="s">
        <v>207</v>
      </c>
      <c r="G161" s="4">
        <v>107.71428571428572</v>
      </c>
      <c r="H161" s="4">
        <f t="shared" si="2"/>
        <v>119.68253968253968</v>
      </c>
      <c r="I161" s="3" t="s">
        <v>441</v>
      </c>
      <c r="J161" s="3" t="s">
        <v>310</v>
      </c>
      <c r="K161" s="3" t="s">
        <v>310</v>
      </c>
    </row>
    <row r="162" spans="1:11" ht="25" customHeight="1">
      <c r="A162" s="3" t="s">
        <v>442</v>
      </c>
      <c r="B162" s="3">
        <v>4</v>
      </c>
      <c r="C162" s="3" t="s">
        <v>443</v>
      </c>
      <c r="F162" s="3" t="s">
        <v>207</v>
      </c>
      <c r="G162" s="4">
        <v>63.8</v>
      </c>
      <c r="H162" s="4">
        <f t="shared" si="2"/>
        <v>70.888888888888886</v>
      </c>
      <c r="I162" s="3" t="s">
        <v>444</v>
      </c>
      <c r="J162" s="3" t="s">
        <v>310</v>
      </c>
      <c r="K162" s="3" t="s">
        <v>310</v>
      </c>
    </row>
    <row r="163" spans="1:11" ht="25" customHeight="1">
      <c r="A163" s="3" t="s">
        <v>445</v>
      </c>
      <c r="B163" s="3">
        <v>4</v>
      </c>
      <c r="C163" s="3" t="s">
        <v>446</v>
      </c>
      <c r="F163" s="3" t="s">
        <v>207</v>
      </c>
      <c r="G163" s="4">
        <v>23.2</v>
      </c>
      <c r="H163" s="4">
        <f t="shared" si="2"/>
        <v>25.777777777777775</v>
      </c>
      <c r="I163" s="3" t="s">
        <v>447</v>
      </c>
      <c r="J163" s="3" t="s">
        <v>310</v>
      </c>
      <c r="K163" s="3" t="s">
        <v>310</v>
      </c>
    </row>
    <row r="164" spans="1:11" ht="25" customHeight="1">
      <c r="A164" s="3" t="s">
        <v>448</v>
      </c>
      <c r="B164" s="3">
        <v>4</v>
      </c>
      <c r="C164" s="3" t="s">
        <v>449</v>
      </c>
      <c r="D164" s="3" t="s">
        <v>339</v>
      </c>
      <c r="F164" s="3" t="s">
        <v>207</v>
      </c>
      <c r="G164" s="4">
        <v>174</v>
      </c>
      <c r="H164" s="4">
        <f t="shared" si="2"/>
        <v>193.33333333333331</v>
      </c>
      <c r="I164" s="3" t="s">
        <v>450</v>
      </c>
      <c r="J164" s="3" t="s">
        <v>310</v>
      </c>
      <c r="K164" s="3" t="s">
        <v>310</v>
      </c>
    </row>
    <row r="165" spans="1:11" ht="25" customHeight="1">
      <c r="A165" s="3" t="s">
        <v>451</v>
      </c>
      <c r="B165" s="3">
        <v>4</v>
      </c>
      <c r="C165" s="3" t="s">
        <v>452</v>
      </c>
      <c r="D165" s="3" t="s">
        <v>339</v>
      </c>
      <c r="F165" s="3" t="s">
        <v>207</v>
      </c>
      <c r="G165" s="4">
        <v>240.28571428571428</v>
      </c>
      <c r="H165" s="4">
        <f t="shared" si="2"/>
        <v>266.98412698412699</v>
      </c>
      <c r="I165" s="3" t="s">
        <v>453</v>
      </c>
      <c r="J165" s="3" t="s">
        <v>454</v>
      </c>
      <c r="K165" s="3" t="s">
        <v>455</v>
      </c>
    </row>
    <row r="166" spans="1:11" ht="25" customHeight="1">
      <c r="A166" s="3" t="s">
        <v>456</v>
      </c>
      <c r="B166" s="3">
        <v>4</v>
      </c>
      <c r="C166" s="3" t="s">
        <v>457</v>
      </c>
      <c r="D166" s="3" t="s">
        <v>339</v>
      </c>
      <c r="F166" s="3" t="s">
        <v>207</v>
      </c>
      <c r="G166" s="4">
        <v>36.457142857142856</v>
      </c>
      <c r="H166" s="4">
        <f t="shared" si="2"/>
        <v>40.507936507936506</v>
      </c>
      <c r="I166" s="3" t="s">
        <v>458</v>
      </c>
      <c r="J166" s="3" t="s">
        <v>369</v>
      </c>
      <c r="K166" s="3" t="s">
        <v>369</v>
      </c>
    </row>
    <row r="167" spans="1:11" ht="25" customHeight="1">
      <c r="A167" s="3" t="s">
        <v>459</v>
      </c>
      <c r="B167" s="3">
        <v>4</v>
      </c>
      <c r="C167" s="3" t="s">
        <v>460</v>
      </c>
      <c r="D167" s="3" t="s">
        <v>339</v>
      </c>
      <c r="F167" s="3" t="s">
        <v>207</v>
      </c>
      <c r="G167" s="4">
        <v>215.42857142857144</v>
      </c>
      <c r="H167" s="4">
        <f t="shared" si="2"/>
        <v>239.36507936507937</v>
      </c>
      <c r="I167" s="3" t="s">
        <v>461</v>
      </c>
      <c r="J167" s="3" t="s">
        <v>382</v>
      </c>
      <c r="K167" s="3" t="s">
        <v>382</v>
      </c>
    </row>
    <row r="168" spans="1:11" ht="25" customHeight="1">
      <c r="A168" s="3" t="s">
        <v>462</v>
      </c>
      <c r="B168" s="3">
        <v>4</v>
      </c>
      <c r="C168" s="3" t="s">
        <v>463</v>
      </c>
      <c r="F168" s="3" t="s">
        <v>207</v>
      </c>
      <c r="G168" s="4">
        <v>1657.1428571428573</v>
      </c>
      <c r="H168" s="4">
        <f t="shared" si="2"/>
        <v>1841.2698412698414</v>
      </c>
      <c r="I168" s="3" t="s">
        <v>464</v>
      </c>
      <c r="J168" s="3" t="s">
        <v>465</v>
      </c>
      <c r="K168" s="3" t="s">
        <v>466</v>
      </c>
    </row>
    <row r="169" spans="1:11" ht="25" customHeight="1">
      <c r="A169" s="3" t="s">
        <v>467</v>
      </c>
      <c r="B169" s="3">
        <v>4</v>
      </c>
      <c r="C169" s="3" t="s">
        <v>468</v>
      </c>
      <c r="D169" s="3" t="s">
        <v>339</v>
      </c>
      <c r="F169" s="3" t="s">
        <v>469</v>
      </c>
      <c r="G169" s="4">
        <v>1309.1428571428571</v>
      </c>
      <c r="H169" s="4">
        <f t="shared" si="2"/>
        <v>1454.6031746031745</v>
      </c>
      <c r="I169" s="3" t="s">
        <v>470</v>
      </c>
      <c r="J169" s="3" t="s">
        <v>471</v>
      </c>
      <c r="K169" s="3" t="s">
        <v>471</v>
      </c>
    </row>
    <row r="170" spans="1:11" ht="25" customHeight="1">
      <c r="A170" s="3" t="s">
        <v>472</v>
      </c>
      <c r="B170" s="3">
        <v>4</v>
      </c>
      <c r="C170" s="3" t="s">
        <v>473</v>
      </c>
      <c r="F170" s="3" t="s">
        <v>474</v>
      </c>
      <c r="G170" s="4">
        <v>372.85714285714289</v>
      </c>
      <c r="H170" s="4">
        <f t="shared" si="2"/>
        <v>414.28571428571433</v>
      </c>
      <c r="J170" s="3" t="s">
        <v>369</v>
      </c>
      <c r="K170" s="3" t="s">
        <v>369</v>
      </c>
    </row>
    <row r="171" spans="1:11" ht="25" customHeight="1">
      <c r="A171" s="3" t="s">
        <v>475</v>
      </c>
      <c r="B171" s="3">
        <v>4</v>
      </c>
      <c r="C171" s="3" t="s">
        <v>476</v>
      </c>
      <c r="F171" s="3" t="s">
        <v>207</v>
      </c>
      <c r="G171" s="4">
        <v>14.914285714285715</v>
      </c>
      <c r="H171" s="4">
        <f t="shared" si="2"/>
        <v>16.571428571428573</v>
      </c>
      <c r="I171" s="3" t="s">
        <v>385</v>
      </c>
      <c r="J171" s="3" t="s">
        <v>477</v>
      </c>
      <c r="K171" s="3" t="s">
        <v>478</v>
      </c>
    </row>
    <row r="172" spans="1:11" ht="25" customHeight="1">
      <c r="A172" s="3" t="s">
        <v>479</v>
      </c>
      <c r="B172" s="3">
        <v>4</v>
      </c>
      <c r="C172" s="3" t="s">
        <v>480</v>
      </c>
      <c r="F172" s="3" t="s">
        <v>313</v>
      </c>
      <c r="G172" s="4">
        <v>78.714285714285722</v>
      </c>
      <c r="H172" s="4">
        <f t="shared" si="2"/>
        <v>87.460317460317469</v>
      </c>
      <c r="I172" s="3" t="s">
        <v>481</v>
      </c>
      <c r="J172" s="3" t="s">
        <v>482</v>
      </c>
      <c r="K172" s="3" t="s">
        <v>483</v>
      </c>
    </row>
    <row r="173" spans="1:11" ht="25" customHeight="1">
      <c r="A173" s="3" t="s">
        <v>484</v>
      </c>
      <c r="B173" s="3">
        <v>4</v>
      </c>
      <c r="C173" s="3" t="s">
        <v>480</v>
      </c>
      <c r="F173" s="3" t="s">
        <v>318</v>
      </c>
      <c r="G173" s="4">
        <v>91.142857142857139</v>
      </c>
      <c r="H173" s="4">
        <f t="shared" si="2"/>
        <v>101.26984126984127</v>
      </c>
      <c r="I173" s="3" t="s">
        <v>481</v>
      </c>
      <c r="J173" s="3" t="s">
        <v>482</v>
      </c>
      <c r="K173" s="3" t="s">
        <v>485</v>
      </c>
    </row>
    <row r="174" spans="1:11" ht="25" customHeight="1">
      <c r="A174" s="3" t="s">
        <v>486</v>
      </c>
      <c r="B174" s="3">
        <v>4</v>
      </c>
      <c r="C174" s="3" t="s">
        <v>487</v>
      </c>
      <c r="F174" s="3" t="s">
        <v>313</v>
      </c>
      <c r="G174" s="4">
        <v>91.142857142857139</v>
      </c>
      <c r="H174" s="4">
        <f t="shared" si="2"/>
        <v>101.26984126984127</v>
      </c>
      <c r="I174" s="3" t="s">
        <v>488</v>
      </c>
      <c r="J174" s="3" t="s">
        <v>489</v>
      </c>
      <c r="K174" s="3" t="s">
        <v>490</v>
      </c>
    </row>
    <row r="175" spans="1:11" ht="25" customHeight="1">
      <c r="A175" s="3" t="s">
        <v>491</v>
      </c>
      <c r="B175" s="3">
        <v>4</v>
      </c>
      <c r="C175" s="3" t="s">
        <v>487</v>
      </c>
      <c r="F175" s="3" t="s">
        <v>321</v>
      </c>
      <c r="G175" s="4">
        <v>140.85714285714286</v>
      </c>
      <c r="H175" s="4">
        <f t="shared" si="2"/>
        <v>156.50793650793651</v>
      </c>
      <c r="I175" s="3" t="s">
        <v>488</v>
      </c>
      <c r="J175" s="3" t="s">
        <v>489</v>
      </c>
      <c r="K175" s="3" t="s">
        <v>492</v>
      </c>
    </row>
    <row r="176" spans="1:11" ht="25" customHeight="1">
      <c r="A176" s="3" t="s">
        <v>493</v>
      </c>
      <c r="B176" s="3">
        <v>4</v>
      </c>
      <c r="C176" s="3" t="s">
        <v>494</v>
      </c>
      <c r="D176" s="3" t="s">
        <v>339</v>
      </c>
      <c r="F176" s="3" t="s">
        <v>207</v>
      </c>
      <c r="G176" s="4">
        <v>124.28571428571429</v>
      </c>
      <c r="H176" s="4">
        <f t="shared" si="2"/>
        <v>138.0952380952381</v>
      </c>
      <c r="I176" s="3" t="s">
        <v>495</v>
      </c>
      <c r="J176" s="3" t="s">
        <v>396</v>
      </c>
      <c r="K176" s="3" t="s">
        <v>396</v>
      </c>
    </row>
    <row r="177" spans="1:11" ht="25" customHeight="1">
      <c r="A177" s="3" t="s">
        <v>496</v>
      </c>
      <c r="B177" s="3">
        <v>4</v>
      </c>
      <c r="C177" s="3" t="s">
        <v>497</v>
      </c>
      <c r="D177" s="3" t="s">
        <v>339</v>
      </c>
      <c r="F177" s="3" t="s">
        <v>469</v>
      </c>
      <c r="G177" s="4">
        <v>207.14285714285717</v>
      </c>
      <c r="H177" s="4">
        <f t="shared" si="2"/>
        <v>230.15873015873018</v>
      </c>
      <c r="I177" s="3" t="s">
        <v>498</v>
      </c>
      <c r="J177" s="3" t="s">
        <v>499</v>
      </c>
      <c r="K177" s="3" t="s">
        <v>500</v>
      </c>
    </row>
    <row r="178" spans="1:11" ht="25" customHeight="1">
      <c r="A178" s="3" t="s">
        <v>501</v>
      </c>
      <c r="B178" s="3">
        <v>4</v>
      </c>
      <c r="C178" s="3" t="s">
        <v>502</v>
      </c>
      <c r="D178" s="3" t="s">
        <v>339</v>
      </c>
      <c r="F178" s="3" t="s">
        <v>469</v>
      </c>
      <c r="G178" s="4">
        <v>495.48571428571427</v>
      </c>
      <c r="H178" s="4">
        <f t="shared" si="2"/>
        <v>550.53968253968253</v>
      </c>
      <c r="I178" s="3" t="s">
        <v>503</v>
      </c>
      <c r="J178" s="3" t="s">
        <v>504</v>
      </c>
      <c r="K178" s="3" t="s">
        <v>505</v>
      </c>
    </row>
    <row r="179" spans="1:11" ht="25" customHeight="1">
      <c r="A179" s="3" t="s">
        <v>506</v>
      </c>
      <c r="B179" s="3">
        <v>4</v>
      </c>
      <c r="C179" s="3" t="s">
        <v>507</v>
      </c>
      <c r="D179" s="3" t="s">
        <v>339</v>
      </c>
      <c r="F179" s="3" t="s">
        <v>508</v>
      </c>
      <c r="G179" s="4">
        <v>298.28571428571433</v>
      </c>
      <c r="H179" s="4">
        <f t="shared" si="2"/>
        <v>331.4285714285715</v>
      </c>
      <c r="I179" s="3" t="s">
        <v>509</v>
      </c>
      <c r="J179" s="3" t="s">
        <v>510</v>
      </c>
      <c r="K179" s="3" t="s">
        <v>510</v>
      </c>
    </row>
    <row r="180" spans="1:11" ht="25" customHeight="1">
      <c r="A180" s="3" t="s">
        <v>511</v>
      </c>
      <c r="B180" s="3">
        <v>4</v>
      </c>
      <c r="C180" s="3" t="s">
        <v>512</v>
      </c>
      <c r="D180" s="3" t="s">
        <v>339</v>
      </c>
      <c r="F180" s="3" t="s">
        <v>207</v>
      </c>
      <c r="G180" s="4">
        <v>190.57142857142858</v>
      </c>
      <c r="H180" s="4">
        <f t="shared" si="2"/>
        <v>211.74603174603175</v>
      </c>
      <c r="I180" s="3" t="s">
        <v>513</v>
      </c>
      <c r="J180" s="3" t="s">
        <v>514</v>
      </c>
      <c r="K180" s="3" t="s">
        <v>514</v>
      </c>
    </row>
    <row r="181" spans="1:11" ht="25" customHeight="1">
      <c r="A181" s="3" t="s">
        <v>515</v>
      </c>
      <c r="B181" s="3">
        <v>4</v>
      </c>
      <c r="C181" s="3" t="s">
        <v>516</v>
      </c>
      <c r="F181" s="3" t="s">
        <v>517</v>
      </c>
      <c r="G181" s="4">
        <v>232.00000000000003</v>
      </c>
      <c r="H181" s="4">
        <f t="shared" si="2"/>
        <v>257.77777777777783</v>
      </c>
      <c r="I181" s="3" t="s">
        <v>518</v>
      </c>
      <c r="J181" s="3" t="s">
        <v>335</v>
      </c>
      <c r="K181" s="3" t="s">
        <v>336</v>
      </c>
    </row>
    <row r="182" spans="1:11" ht="25" customHeight="1">
      <c r="A182" s="3" t="s">
        <v>519</v>
      </c>
      <c r="B182" s="3">
        <v>4</v>
      </c>
      <c r="C182" s="3" t="s">
        <v>520</v>
      </c>
      <c r="F182" s="3" t="s">
        <v>517</v>
      </c>
      <c r="G182" s="4">
        <v>232.00000000000003</v>
      </c>
      <c r="H182" s="4">
        <f t="shared" si="2"/>
        <v>257.77777777777783</v>
      </c>
      <c r="I182" s="3" t="s">
        <v>521</v>
      </c>
      <c r="J182" s="3" t="s">
        <v>335</v>
      </c>
      <c r="K182" s="3" t="s">
        <v>336</v>
      </c>
    </row>
    <row r="183" spans="1:11" ht="25" customHeight="1">
      <c r="A183" s="3" t="s">
        <v>522</v>
      </c>
      <c r="B183" s="3">
        <v>4</v>
      </c>
      <c r="C183" s="3" t="s">
        <v>523</v>
      </c>
      <c r="D183" s="3" t="s">
        <v>339</v>
      </c>
      <c r="F183" s="3" t="s">
        <v>207</v>
      </c>
      <c r="G183" s="4">
        <v>107.71428571428572</v>
      </c>
      <c r="H183" s="4">
        <f t="shared" si="2"/>
        <v>119.68253968253968</v>
      </c>
      <c r="I183" s="3" t="s">
        <v>524</v>
      </c>
      <c r="J183" s="3" t="s">
        <v>408</v>
      </c>
      <c r="K183" s="3" t="s">
        <v>409</v>
      </c>
    </row>
    <row r="184" spans="1:11" ht="25" customHeight="1">
      <c r="A184" s="3" t="s">
        <v>525</v>
      </c>
      <c r="B184" s="3">
        <v>4</v>
      </c>
      <c r="C184" s="3" t="s">
        <v>526</v>
      </c>
      <c r="D184" s="3" t="s">
        <v>339</v>
      </c>
      <c r="F184" s="3" t="s">
        <v>207</v>
      </c>
      <c r="G184" s="4">
        <v>145.82857142857142</v>
      </c>
      <c r="H184" s="4">
        <f t="shared" si="2"/>
        <v>162.03174603174602</v>
      </c>
      <c r="I184" s="3" t="s">
        <v>470</v>
      </c>
      <c r="J184" s="3" t="s">
        <v>527</v>
      </c>
      <c r="K184" s="3" t="s">
        <v>528</v>
      </c>
    </row>
    <row r="185" spans="1:11" ht="25" customHeight="1">
      <c r="A185" s="3" t="s">
        <v>529</v>
      </c>
      <c r="B185" s="3">
        <v>4</v>
      </c>
      <c r="C185" s="3" t="s">
        <v>530</v>
      </c>
      <c r="D185" s="3" t="s">
        <v>339</v>
      </c>
      <c r="F185" s="3" t="s">
        <v>508</v>
      </c>
      <c r="G185" s="4">
        <v>162.40000000000003</v>
      </c>
      <c r="H185" s="4">
        <f t="shared" si="2"/>
        <v>180.44444444444449</v>
      </c>
      <c r="I185" s="3" t="s">
        <v>509</v>
      </c>
      <c r="J185" s="3" t="s">
        <v>531</v>
      </c>
      <c r="K185" s="3" t="s">
        <v>531</v>
      </c>
    </row>
    <row r="186" spans="1:11" ht="25" customHeight="1">
      <c r="A186" s="3" t="s">
        <v>532</v>
      </c>
      <c r="B186" s="3">
        <v>4</v>
      </c>
      <c r="C186" s="3" t="s">
        <v>533</v>
      </c>
      <c r="D186" s="3" t="s">
        <v>339</v>
      </c>
      <c r="F186" s="3" t="s">
        <v>207</v>
      </c>
      <c r="G186" s="4">
        <v>107.71428571428572</v>
      </c>
      <c r="H186" s="4">
        <f t="shared" si="2"/>
        <v>119.68253968253968</v>
      </c>
      <c r="I186" s="3" t="s">
        <v>534</v>
      </c>
      <c r="J186" s="3" t="s">
        <v>262</v>
      </c>
      <c r="K186" s="3" t="s">
        <v>263</v>
      </c>
    </row>
    <row r="187" spans="1:11" ht="25" customHeight="1">
      <c r="A187" s="3" t="s">
        <v>535</v>
      </c>
      <c r="B187" s="3">
        <v>4</v>
      </c>
      <c r="C187" s="3" t="s">
        <v>536</v>
      </c>
      <c r="F187" s="3" t="s">
        <v>207</v>
      </c>
      <c r="G187" s="4">
        <v>42.814285714285717</v>
      </c>
      <c r="H187" s="4">
        <f t="shared" si="2"/>
        <v>47.571428571428577</v>
      </c>
      <c r="I187" s="3" t="s">
        <v>537</v>
      </c>
      <c r="J187" s="3" t="s">
        <v>262</v>
      </c>
      <c r="K187" s="3" t="s">
        <v>263</v>
      </c>
    </row>
    <row r="188" spans="1:11" ht="25" customHeight="1">
      <c r="A188" s="3" t="s">
        <v>538</v>
      </c>
      <c r="B188" s="3">
        <v>4</v>
      </c>
      <c r="C188" s="3" t="s">
        <v>539</v>
      </c>
      <c r="F188" s="3" t="s">
        <v>207</v>
      </c>
      <c r="G188" s="4">
        <v>81.471428571428575</v>
      </c>
      <c r="H188" s="4">
        <f t="shared" si="2"/>
        <v>90.523809523809533</v>
      </c>
      <c r="I188" s="3" t="s">
        <v>540</v>
      </c>
      <c r="J188" s="3" t="s">
        <v>262</v>
      </c>
      <c r="K188" s="3" t="s">
        <v>263</v>
      </c>
    </row>
    <row r="189" spans="1:11" ht="25" customHeight="1">
      <c r="A189" s="3" t="s">
        <v>541</v>
      </c>
      <c r="B189" s="3">
        <v>4</v>
      </c>
      <c r="C189" s="3" t="s">
        <v>542</v>
      </c>
      <c r="F189" s="3" t="s">
        <v>207</v>
      </c>
      <c r="G189" s="4">
        <v>66.285714285714292</v>
      </c>
      <c r="H189" s="4">
        <f t="shared" si="2"/>
        <v>73.650793650793659</v>
      </c>
      <c r="I189" s="3" t="s">
        <v>540</v>
      </c>
      <c r="J189" s="3" t="s">
        <v>262</v>
      </c>
      <c r="K189" s="3" t="s">
        <v>263</v>
      </c>
    </row>
    <row r="190" spans="1:11" ht="25" customHeight="1">
      <c r="A190" s="3" t="s">
        <v>543</v>
      </c>
      <c r="B190" s="3">
        <v>4</v>
      </c>
      <c r="C190" s="3" t="s">
        <v>544</v>
      </c>
      <c r="D190" s="3" t="s">
        <v>339</v>
      </c>
      <c r="F190" s="3" t="s">
        <v>207</v>
      </c>
      <c r="G190" s="4">
        <v>348</v>
      </c>
      <c r="H190" s="4">
        <f t="shared" si="2"/>
        <v>386.66666666666663</v>
      </c>
      <c r="I190" s="3" t="s">
        <v>545</v>
      </c>
      <c r="J190" s="3" t="s">
        <v>262</v>
      </c>
      <c r="K190" s="3" t="s">
        <v>263</v>
      </c>
    </row>
    <row r="191" spans="1:11" ht="25" customHeight="1">
      <c r="A191" s="3" t="s">
        <v>546</v>
      </c>
      <c r="B191" s="3">
        <v>6</v>
      </c>
      <c r="C191" s="3" t="s">
        <v>547</v>
      </c>
      <c r="F191" s="3" t="s">
        <v>548</v>
      </c>
      <c r="G191" s="4"/>
      <c r="H191" s="4" t="str">
        <f t="shared" si="2"/>
        <v/>
      </c>
      <c r="J191" s="3" t="s">
        <v>549</v>
      </c>
      <c r="K191" s="3" t="s">
        <v>550</v>
      </c>
    </row>
    <row r="192" spans="1:11" ht="25" customHeight="1">
      <c r="A192" s="3" t="s">
        <v>551</v>
      </c>
      <c r="B192" s="3">
        <v>6</v>
      </c>
      <c r="C192" s="3" t="s">
        <v>547</v>
      </c>
      <c r="F192" s="3" t="s">
        <v>548</v>
      </c>
      <c r="G192" s="4"/>
      <c r="H192" s="4" t="str">
        <f t="shared" si="2"/>
        <v/>
      </c>
      <c r="J192" s="3" t="s">
        <v>549</v>
      </c>
      <c r="K192" s="3" t="s">
        <v>550</v>
      </c>
    </row>
    <row r="193" spans="1:11" ht="25" customHeight="1">
      <c r="A193" s="3" t="s">
        <v>552</v>
      </c>
      <c r="B193" s="3">
        <v>6</v>
      </c>
      <c r="C193" s="3" t="s">
        <v>553</v>
      </c>
      <c r="F193" s="3" t="s">
        <v>554</v>
      </c>
      <c r="G193" s="4"/>
      <c r="H193" s="4" t="str">
        <f t="shared" si="2"/>
        <v/>
      </c>
      <c r="I193" s="3" t="s">
        <v>555</v>
      </c>
      <c r="J193" s="3" t="s">
        <v>556</v>
      </c>
      <c r="K193" s="3" t="s">
        <v>557</v>
      </c>
    </row>
    <row r="194" spans="1:11" ht="25" customHeight="1">
      <c r="A194" s="3" t="s">
        <v>558</v>
      </c>
      <c r="B194" s="3">
        <v>6</v>
      </c>
      <c r="C194" s="3" t="s">
        <v>553</v>
      </c>
      <c r="F194" s="3" t="s">
        <v>559</v>
      </c>
      <c r="G194" s="4"/>
      <c r="H194" s="4" t="str">
        <f t="shared" ref="H194:H257" si="3">IF(G194="","",G194/(1-$M$1))</f>
        <v/>
      </c>
      <c r="I194" s="3" t="s">
        <v>555</v>
      </c>
      <c r="J194" s="3" t="s">
        <v>556</v>
      </c>
      <c r="K194" s="3" t="s">
        <v>557</v>
      </c>
    </row>
    <row r="195" spans="1:11" ht="25" customHeight="1">
      <c r="A195" s="3" t="s">
        <v>560</v>
      </c>
      <c r="B195" s="3">
        <v>6</v>
      </c>
      <c r="C195" s="3" t="s">
        <v>553</v>
      </c>
      <c r="F195" s="3" t="s">
        <v>561</v>
      </c>
      <c r="G195" s="4"/>
      <c r="H195" s="4" t="str">
        <f t="shared" si="3"/>
        <v/>
      </c>
      <c r="I195" s="3" t="s">
        <v>555</v>
      </c>
      <c r="J195" s="3" t="s">
        <v>556</v>
      </c>
      <c r="K195" s="3" t="s">
        <v>557</v>
      </c>
    </row>
    <row r="196" spans="1:11" ht="25" customHeight="1">
      <c r="A196" s="3" t="s">
        <v>562</v>
      </c>
      <c r="B196" s="3">
        <v>6</v>
      </c>
      <c r="C196" s="3" t="s">
        <v>563</v>
      </c>
      <c r="F196" s="3" t="s">
        <v>207</v>
      </c>
      <c r="G196" s="4">
        <v>116.00000000000001</v>
      </c>
      <c r="H196" s="4">
        <f t="shared" si="3"/>
        <v>128.88888888888891</v>
      </c>
      <c r="I196" s="3" t="s">
        <v>564</v>
      </c>
      <c r="J196" s="3" t="s">
        <v>565</v>
      </c>
      <c r="K196" s="3" t="s">
        <v>566</v>
      </c>
    </row>
    <row r="197" spans="1:11" ht="25" customHeight="1">
      <c r="A197" s="3" t="s">
        <v>567</v>
      </c>
      <c r="B197" s="3">
        <v>6</v>
      </c>
      <c r="C197" s="3" t="s">
        <v>563</v>
      </c>
      <c r="F197" s="3" t="s">
        <v>207</v>
      </c>
      <c r="G197" s="4">
        <v>248.57142857142858</v>
      </c>
      <c r="H197" s="4">
        <f t="shared" si="3"/>
        <v>276.1904761904762</v>
      </c>
      <c r="I197" s="3" t="s">
        <v>564</v>
      </c>
      <c r="J197" s="3" t="s">
        <v>565</v>
      </c>
      <c r="K197" s="3" t="s">
        <v>566</v>
      </c>
    </row>
    <row r="198" spans="1:11" ht="25" customHeight="1">
      <c r="A198" s="3" t="s">
        <v>568</v>
      </c>
      <c r="B198" s="3">
        <v>6</v>
      </c>
      <c r="C198" s="3" t="s">
        <v>563</v>
      </c>
      <c r="F198" s="3" t="s">
        <v>207</v>
      </c>
      <c r="G198" s="4">
        <v>339.71428571428578</v>
      </c>
      <c r="H198" s="4">
        <f t="shared" si="3"/>
        <v>377.46031746031753</v>
      </c>
      <c r="I198" s="3" t="s">
        <v>564</v>
      </c>
      <c r="J198" s="3" t="s">
        <v>565</v>
      </c>
      <c r="K198" s="3" t="s">
        <v>566</v>
      </c>
    </row>
    <row r="199" spans="1:11" ht="25" customHeight="1">
      <c r="A199" s="3" t="s">
        <v>569</v>
      </c>
      <c r="B199" s="3">
        <v>6</v>
      </c>
      <c r="C199" s="3" t="s">
        <v>563</v>
      </c>
      <c r="F199" s="3" t="s">
        <v>207</v>
      </c>
      <c r="G199" s="4">
        <v>160.74285714285716</v>
      </c>
      <c r="H199" s="4">
        <f t="shared" si="3"/>
        <v>178.60317460317461</v>
      </c>
      <c r="I199" s="3" t="s">
        <v>564</v>
      </c>
      <c r="J199" s="3" t="s">
        <v>565</v>
      </c>
      <c r="K199" s="3" t="s">
        <v>566</v>
      </c>
    </row>
    <row r="200" spans="1:11" ht="25" customHeight="1">
      <c r="A200" s="3" t="s">
        <v>570</v>
      </c>
      <c r="B200" s="3">
        <v>6</v>
      </c>
      <c r="C200" s="3" t="s">
        <v>571</v>
      </c>
      <c r="F200" s="3" t="s">
        <v>572</v>
      </c>
      <c r="G200" s="4"/>
      <c r="H200" s="4" t="str">
        <f t="shared" si="3"/>
        <v/>
      </c>
      <c r="I200" s="3" t="s">
        <v>573</v>
      </c>
      <c r="J200" s="3" t="s">
        <v>574</v>
      </c>
      <c r="K200" s="3" t="s">
        <v>575</v>
      </c>
    </row>
    <row r="201" spans="1:11" ht="25" customHeight="1">
      <c r="A201" s="3" t="s">
        <v>576</v>
      </c>
      <c r="B201" s="3">
        <v>6</v>
      </c>
      <c r="C201" s="3" t="s">
        <v>571</v>
      </c>
      <c r="F201" s="3" t="s">
        <v>572</v>
      </c>
      <c r="G201" s="4"/>
      <c r="H201" s="4" t="str">
        <f t="shared" si="3"/>
        <v/>
      </c>
      <c r="I201" s="3" t="s">
        <v>573</v>
      </c>
      <c r="J201" s="3" t="s">
        <v>574</v>
      </c>
      <c r="K201" s="3" t="s">
        <v>575</v>
      </c>
    </row>
    <row r="202" spans="1:11" ht="25" customHeight="1">
      <c r="A202" s="3" t="s">
        <v>577</v>
      </c>
      <c r="B202" s="3">
        <v>6</v>
      </c>
      <c r="C202" s="3" t="s">
        <v>571</v>
      </c>
      <c r="F202" s="3" t="s">
        <v>572</v>
      </c>
      <c r="G202" s="4"/>
      <c r="H202" s="4" t="str">
        <f t="shared" si="3"/>
        <v/>
      </c>
      <c r="I202" s="3" t="s">
        <v>573</v>
      </c>
      <c r="J202" s="3" t="s">
        <v>574</v>
      </c>
      <c r="K202" s="3" t="s">
        <v>575</v>
      </c>
    </row>
    <row r="203" spans="1:11" ht="25" customHeight="1">
      <c r="A203" s="3" t="s">
        <v>578</v>
      </c>
      <c r="B203" s="3">
        <v>6</v>
      </c>
      <c r="C203" s="3" t="s">
        <v>579</v>
      </c>
      <c r="F203" s="3" t="s">
        <v>207</v>
      </c>
      <c r="G203" s="4">
        <v>87.828571428571436</v>
      </c>
      <c r="H203" s="4">
        <f t="shared" si="3"/>
        <v>97.587301587301596</v>
      </c>
      <c r="I203" s="3" t="s">
        <v>580</v>
      </c>
      <c r="J203" s="3" t="s">
        <v>581</v>
      </c>
      <c r="K203" s="3" t="s">
        <v>582</v>
      </c>
    </row>
    <row r="204" spans="1:11" ht="25" customHeight="1">
      <c r="A204" s="3" t="s">
        <v>583</v>
      </c>
      <c r="B204" s="3">
        <v>6</v>
      </c>
      <c r="C204" s="3" t="s">
        <v>579</v>
      </c>
      <c r="F204" s="3" t="s">
        <v>207</v>
      </c>
      <c r="G204" s="4">
        <v>160.74285714285716</v>
      </c>
      <c r="H204" s="4">
        <f t="shared" si="3"/>
        <v>178.60317460317461</v>
      </c>
      <c r="I204" s="3" t="s">
        <v>580</v>
      </c>
      <c r="J204" s="3" t="s">
        <v>581</v>
      </c>
      <c r="K204" s="3" t="s">
        <v>582</v>
      </c>
    </row>
    <row r="205" spans="1:11" ht="25" customHeight="1">
      <c r="A205" s="3" t="s">
        <v>584</v>
      </c>
      <c r="B205" s="3">
        <v>6</v>
      </c>
      <c r="C205" s="3" t="s">
        <v>579</v>
      </c>
      <c r="F205" s="3" t="s">
        <v>207</v>
      </c>
      <c r="G205" s="4">
        <v>298.28571428571433</v>
      </c>
      <c r="H205" s="4">
        <f t="shared" si="3"/>
        <v>331.4285714285715</v>
      </c>
      <c r="I205" s="3" t="s">
        <v>580</v>
      </c>
      <c r="J205" s="3" t="s">
        <v>581</v>
      </c>
      <c r="K205" s="3" t="s">
        <v>582</v>
      </c>
    </row>
    <row r="206" spans="1:11" ht="25" customHeight="1">
      <c r="A206" s="3" t="s">
        <v>585</v>
      </c>
      <c r="B206" s="3">
        <v>6</v>
      </c>
      <c r="C206" s="3" t="s">
        <v>579</v>
      </c>
      <c r="F206" s="3" t="s">
        <v>207</v>
      </c>
      <c r="G206" s="4">
        <v>124.28571428571429</v>
      </c>
      <c r="H206" s="4">
        <f t="shared" si="3"/>
        <v>138.0952380952381</v>
      </c>
      <c r="I206" s="3" t="s">
        <v>580</v>
      </c>
      <c r="J206" s="3" t="s">
        <v>581</v>
      </c>
      <c r="K206" s="3" t="s">
        <v>582</v>
      </c>
    </row>
    <row r="207" spans="1:11" ht="25" customHeight="1">
      <c r="A207" s="3" t="s">
        <v>586</v>
      </c>
      <c r="B207" s="3">
        <v>6</v>
      </c>
      <c r="C207" s="3" t="s">
        <v>587</v>
      </c>
      <c r="F207" s="3" t="s">
        <v>207</v>
      </c>
      <c r="G207" s="4">
        <v>828.57142857142867</v>
      </c>
      <c r="H207" s="4">
        <f t="shared" si="3"/>
        <v>920.63492063492072</v>
      </c>
      <c r="I207" s="3" t="s">
        <v>588</v>
      </c>
      <c r="J207" s="3" t="s">
        <v>589</v>
      </c>
      <c r="K207" s="3" t="s">
        <v>589</v>
      </c>
    </row>
    <row r="208" spans="1:11" ht="25" customHeight="1">
      <c r="A208" s="3" t="s">
        <v>590</v>
      </c>
      <c r="B208" s="3">
        <v>10</v>
      </c>
      <c r="C208" s="3" t="s">
        <v>591</v>
      </c>
      <c r="F208" s="3" t="s">
        <v>592</v>
      </c>
      <c r="G208" s="4"/>
      <c r="H208" s="4" t="str">
        <f t="shared" si="3"/>
        <v/>
      </c>
      <c r="I208" s="3" t="s">
        <v>593</v>
      </c>
      <c r="J208" s="3" t="s">
        <v>594</v>
      </c>
      <c r="K208" s="3" t="s">
        <v>594</v>
      </c>
    </row>
    <row r="209" spans="1:11" ht="25" customHeight="1">
      <c r="A209" s="3" t="s">
        <v>595</v>
      </c>
      <c r="B209" s="3">
        <v>10</v>
      </c>
      <c r="C209" s="3" t="s">
        <v>596</v>
      </c>
      <c r="F209" s="3" t="s">
        <v>597</v>
      </c>
      <c r="G209" s="4"/>
      <c r="H209" s="4" t="str">
        <f t="shared" si="3"/>
        <v/>
      </c>
      <c r="I209" s="3" t="s">
        <v>593</v>
      </c>
      <c r="J209" s="3" t="s">
        <v>598</v>
      </c>
      <c r="K209" s="3" t="s">
        <v>598</v>
      </c>
    </row>
    <row r="210" spans="1:11" ht="25" customHeight="1">
      <c r="A210" s="3" t="s">
        <v>599</v>
      </c>
      <c r="B210" s="3">
        <v>10</v>
      </c>
      <c r="C210" s="3" t="s">
        <v>600</v>
      </c>
      <c r="F210" s="3" t="s">
        <v>340</v>
      </c>
      <c r="G210" s="4"/>
      <c r="H210" s="4" t="str">
        <f t="shared" si="3"/>
        <v/>
      </c>
      <c r="I210" s="3" t="s">
        <v>601</v>
      </c>
      <c r="J210" s="3" t="s">
        <v>602</v>
      </c>
      <c r="K210" s="3" t="s">
        <v>603</v>
      </c>
    </row>
    <row r="211" spans="1:11" ht="25" customHeight="1">
      <c r="A211" s="3" t="s">
        <v>604</v>
      </c>
      <c r="B211" s="3">
        <v>10</v>
      </c>
      <c r="C211" s="3" t="s">
        <v>605</v>
      </c>
      <c r="F211" s="3" t="s">
        <v>592</v>
      </c>
      <c r="G211" s="4"/>
      <c r="H211" s="4" t="str">
        <f t="shared" si="3"/>
        <v/>
      </c>
      <c r="I211" s="3" t="s">
        <v>606</v>
      </c>
      <c r="J211" s="3" t="s">
        <v>607</v>
      </c>
      <c r="K211" s="3" t="s">
        <v>608</v>
      </c>
    </row>
    <row r="212" spans="1:11" ht="25" customHeight="1">
      <c r="A212" s="3" t="s">
        <v>609</v>
      </c>
      <c r="B212" s="3">
        <v>10</v>
      </c>
      <c r="C212" s="3" t="s">
        <v>610</v>
      </c>
      <c r="F212" s="3" t="s">
        <v>611</v>
      </c>
      <c r="G212" s="4"/>
      <c r="H212" s="4" t="str">
        <f t="shared" si="3"/>
        <v/>
      </c>
      <c r="I212" s="3" t="s">
        <v>612</v>
      </c>
      <c r="J212" s="3" t="s">
        <v>613</v>
      </c>
      <c r="K212" s="3" t="s">
        <v>613</v>
      </c>
    </row>
    <row r="213" spans="1:11" ht="25" customHeight="1">
      <c r="A213" s="3" t="s">
        <v>614</v>
      </c>
      <c r="B213" s="3">
        <v>11</v>
      </c>
      <c r="C213" s="3" t="s">
        <v>615</v>
      </c>
      <c r="F213" s="3" t="s">
        <v>616</v>
      </c>
      <c r="G213" s="4">
        <v>30.657142857142862</v>
      </c>
      <c r="H213" s="4">
        <f t="shared" si="3"/>
        <v>34.06349206349207</v>
      </c>
      <c r="I213" s="3" t="s">
        <v>617</v>
      </c>
      <c r="J213" s="3" t="s">
        <v>618</v>
      </c>
      <c r="K213" s="3" t="s">
        <v>619</v>
      </c>
    </row>
    <row r="214" spans="1:11" ht="25" customHeight="1">
      <c r="A214" s="3" t="s">
        <v>620</v>
      </c>
      <c r="B214" s="3">
        <v>11</v>
      </c>
      <c r="C214" s="3" t="s">
        <v>621</v>
      </c>
      <c r="F214" s="3" t="s">
        <v>207</v>
      </c>
      <c r="G214" s="4"/>
      <c r="H214" s="4" t="str">
        <f t="shared" si="3"/>
        <v/>
      </c>
      <c r="I214" s="3" t="s">
        <v>622</v>
      </c>
      <c r="J214" s="3" t="s">
        <v>623</v>
      </c>
      <c r="K214" s="3" t="s">
        <v>624</v>
      </c>
    </row>
    <row r="215" spans="1:11" ht="25" customHeight="1">
      <c r="A215" s="3" t="s">
        <v>625</v>
      </c>
      <c r="B215" s="3">
        <v>11</v>
      </c>
      <c r="C215" s="3" t="s">
        <v>626</v>
      </c>
      <c r="F215" s="3" t="s">
        <v>627</v>
      </c>
      <c r="G215" s="4"/>
      <c r="H215" s="4" t="str">
        <f t="shared" si="3"/>
        <v/>
      </c>
      <c r="J215" s="3" t="s">
        <v>628</v>
      </c>
      <c r="K215" s="3" t="s">
        <v>628</v>
      </c>
    </row>
    <row r="216" spans="1:11" ht="25" customHeight="1">
      <c r="A216" s="3" t="s">
        <v>629</v>
      </c>
      <c r="B216" s="3">
        <v>11</v>
      </c>
      <c r="C216" s="3" t="s">
        <v>630</v>
      </c>
      <c r="F216" s="3" t="s">
        <v>627</v>
      </c>
      <c r="G216" s="4"/>
      <c r="H216" s="4" t="str">
        <f t="shared" si="3"/>
        <v/>
      </c>
      <c r="I216" s="3" t="s">
        <v>631</v>
      </c>
      <c r="J216" s="3" t="s">
        <v>632</v>
      </c>
      <c r="K216" s="3" t="s">
        <v>633</v>
      </c>
    </row>
    <row r="217" spans="1:11" ht="25" customHeight="1">
      <c r="A217" s="3" t="s">
        <v>634</v>
      </c>
      <c r="B217" s="3">
        <v>12</v>
      </c>
      <c r="C217" s="3" t="s">
        <v>635</v>
      </c>
      <c r="F217" s="3" t="s">
        <v>207</v>
      </c>
      <c r="G217" s="4">
        <v>555.07142857142867</v>
      </c>
      <c r="H217" s="4">
        <f t="shared" si="3"/>
        <v>616.7460317460318</v>
      </c>
      <c r="I217" s="3" t="s">
        <v>636</v>
      </c>
      <c r="J217" s="3" t="s">
        <v>637</v>
      </c>
      <c r="K217" s="3" t="s">
        <v>638</v>
      </c>
    </row>
    <row r="218" spans="1:11" ht="25" customHeight="1">
      <c r="A218" s="3" t="s">
        <v>639</v>
      </c>
      <c r="B218" s="3">
        <v>12</v>
      </c>
      <c r="C218" s="3" t="s">
        <v>640</v>
      </c>
      <c r="F218" s="3" t="s">
        <v>207</v>
      </c>
      <c r="G218" s="4">
        <v>314.62857142857143</v>
      </c>
      <c r="H218" s="4">
        <f t="shared" si="3"/>
        <v>349.58730158730157</v>
      </c>
      <c r="I218" s="3" t="s">
        <v>641</v>
      </c>
      <c r="J218" s="3" t="s">
        <v>642</v>
      </c>
      <c r="K218" s="3" t="s">
        <v>642</v>
      </c>
    </row>
    <row r="219" spans="1:11" ht="25" customHeight="1">
      <c r="A219" s="3" t="s">
        <v>643</v>
      </c>
      <c r="B219" s="3">
        <v>12</v>
      </c>
      <c r="C219" s="3" t="s">
        <v>644</v>
      </c>
      <c r="F219" s="3" t="s">
        <v>217</v>
      </c>
      <c r="G219" s="4"/>
      <c r="H219" s="4" t="str">
        <f t="shared" si="3"/>
        <v/>
      </c>
      <c r="I219" s="3" t="s">
        <v>645</v>
      </c>
      <c r="J219" s="3" t="s">
        <v>646</v>
      </c>
      <c r="K219" s="3" t="s">
        <v>646</v>
      </c>
    </row>
    <row r="220" spans="1:11" ht="25" customHeight="1">
      <c r="A220" s="3" t="s">
        <v>647</v>
      </c>
      <c r="B220" s="3">
        <v>12</v>
      </c>
      <c r="C220" s="3" t="s">
        <v>648</v>
      </c>
      <c r="F220" s="3" t="s">
        <v>4</v>
      </c>
      <c r="G220" s="4">
        <v>378.6142857142857</v>
      </c>
      <c r="H220" s="4">
        <f t="shared" si="3"/>
        <v>420.68253968253964</v>
      </c>
      <c r="I220" s="3" t="s">
        <v>649</v>
      </c>
      <c r="J220" s="3" t="s">
        <v>650</v>
      </c>
      <c r="K220" s="3" t="s">
        <v>650</v>
      </c>
    </row>
    <row r="221" spans="1:11" ht="25" customHeight="1">
      <c r="A221" s="3" t="s">
        <v>651</v>
      </c>
      <c r="B221" s="3">
        <v>12</v>
      </c>
      <c r="C221" s="3" t="s">
        <v>652</v>
      </c>
      <c r="F221" s="3" t="s">
        <v>207</v>
      </c>
      <c r="G221" s="4">
        <v>532.38571428571436</v>
      </c>
      <c r="H221" s="4">
        <f t="shared" si="3"/>
        <v>591.53968253968264</v>
      </c>
      <c r="I221" s="3" t="s">
        <v>653</v>
      </c>
      <c r="J221" s="3" t="s">
        <v>654</v>
      </c>
      <c r="K221" s="3" t="s">
        <v>654</v>
      </c>
    </row>
    <row r="222" spans="1:11" ht="25" customHeight="1">
      <c r="A222" s="3" t="s">
        <v>655</v>
      </c>
      <c r="B222" s="3">
        <v>12</v>
      </c>
      <c r="C222" s="3" t="s">
        <v>656</v>
      </c>
      <c r="F222" s="3" t="s">
        <v>207</v>
      </c>
      <c r="G222" s="4">
        <v>1070</v>
      </c>
      <c r="H222" s="4">
        <f t="shared" si="3"/>
        <v>1188.8888888888889</v>
      </c>
      <c r="I222" s="3" t="s">
        <v>657</v>
      </c>
      <c r="J222" s="3" t="s">
        <v>658</v>
      </c>
      <c r="K222" s="3" t="s">
        <v>659</v>
      </c>
    </row>
    <row r="223" spans="1:11" ht="25" customHeight="1">
      <c r="A223" s="3" t="s">
        <v>660</v>
      </c>
      <c r="B223" s="3">
        <v>12</v>
      </c>
      <c r="C223" s="3" t="s">
        <v>661</v>
      </c>
      <c r="F223" s="3" t="s">
        <v>207</v>
      </c>
      <c r="G223" s="4">
        <v>455.71428571428572</v>
      </c>
      <c r="H223" s="4">
        <f t="shared" si="3"/>
        <v>506.34920634920633</v>
      </c>
      <c r="I223" s="3" t="s">
        <v>662</v>
      </c>
      <c r="J223" s="3" t="s">
        <v>663</v>
      </c>
      <c r="K223" s="3" t="s">
        <v>664</v>
      </c>
    </row>
    <row r="224" spans="1:11" ht="25" customHeight="1">
      <c r="A224" s="3" t="s">
        <v>665</v>
      </c>
      <c r="B224" s="3">
        <v>7</v>
      </c>
      <c r="C224" s="3" t="s">
        <v>666</v>
      </c>
      <c r="D224" s="3" t="s">
        <v>667</v>
      </c>
      <c r="F224" s="3" t="s">
        <v>207</v>
      </c>
      <c r="G224" s="4">
        <v>464.00000000000006</v>
      </c>
      <c r="H224" s="4">
        <f t="shared" si="3"/>
        <v>515.55555555555566</v>
      </c>
      <c r="I224" s="3" t="s">
        <v>668</v>
      </c>
      <c r="J224" s="3" t="s">
        <v>669</v>
      </c>
      <c r="K224" s="3" t="s">
        <v>670</v>
      </c>
    </row>
    <row r="225" spans="1:11" ht="25" customHeight="1">
      <c r="A225" s="3" t="s">
        <v>671</v>
      </c>
      <c r="B225" s="3">
        <v>7</v>
      </c>
      <c r="C225" s="3" t="s">
        <v>672</v>
      </c>
      <c r="D225" s="3" t="s">
        <v>673</v>
      </c>
      <c r="F225" s="3" t="s">
        <v>674</v>
      </c>
      <c r="G225" s="4">
        <v>74.571428571428584</v>
      </c>
      <c r="H225" s="4">
        <f t="shared" si="3"/>
        <v>82.857142857142875</v>
      </c>
      <c r="I225" s="3" t="s">
        <v>675</v>
      </c>
      <c r="J225" s="3" t="s">
        <v>676</v>
      </c>
      <c r="K225" s="3" t="s">
        <v>677</v>
      </c>
    </row>
    <row r="226" spans="1:11" ht="25" customHeight="1">
      <c r="A226" s="3" t="s">
        <v>678</v>
      </c>
      <c r="B226" s="3">
        <v>7</v>
      </c>
      <c r="C226" s="3" t="s">
        <v>679</v>
      </c>
      <c r="D226" s="3" t="s">
        <v>673</v>
      </c>
      <c r="F226" s="3" t="s">
        <v>674</v>
      </c>
      <c r="G226" s="4">
        <v>74.571428571428584</v>
      </c>
      <c r="H226" s="4">
        <f t="shared" si="3"/>
        <v>82.857142857142875</v>
      </c>
      <c r="I226" s="3" t="s">
        <v>675</v>
      </c>
      <c r="J226" s="3" t="s">
        <v>676</v>
      </c>
      <c r="K226" s="3" t="s">
        <v>677</v>
      </c>
    </row>
    <row r="227" spans="1:11" ht="25" customHeight="1">
      <c r="A227" s="3" t="s">
        <v>680</v>
      </c>
      <c r="B227" s="3">
        <v>7</v>
      </c>
      <c r="C227" s="3" t="s">
        <v>681</v>
      </c>
      <c r="D227" s="3" t="s">
        <v>682</v>
      </c>
      <c r="F227" s="3" t="s">
        <v>207</v>
      </c>
      <c r="G227" s="4">
        <v>99.428571428571431</v>
      </c>
      <c r="H227" s="4">
        <f t="shared" si="3"/>
        <v>110.47619047619048</v>
      </c>
      <c r="I227" s="3" t="s">
        <v>683</v>
      </c>
      <c r="J227" s="3" t="s">
        <v>684</v>
      </c>
      <c r="K227" s="3" t="s">
        <v>685</v>
      </c>
    </row>
    <row r="228" spans="1:11" ht="25" customHeight="1">
      <c r="A228" s="3" t="s">
        <v>686</v>
      </c>
      <c r="B228" s="3">
        <v>7</v>
      </c>
      <c r="C228" s="3" t="s">
        <v>687</v>
      </c>
      <c r="D228" s="3" t="s">
        <v>688</v>
      </c>
      <c r="F228" s="3" t="s">
        <v>239</v>
      </c>
      <c r="G228" s="4">
        <v>66.285714285714292</v>
      </c>
      <c r="H228" s="4">
        <f t="shared" si="3"/>
        <v>73.650793650793659</v>
      </c>
      <c r="I228" s="3" t="s">
        <v>689</v>
      </c>
      <c r="J228" s="3" t="s">
        <v>690</v>
      </c>
      <c r="K228" s="3" t="s">
        <v>691</v>
      </c>
    </row>
    <row r="229" spans="1:11" ht="25" customHeight="1">
      <c r="A229" s="3" t="s">
        <v>692</v>
      </c>
      <c r="B229" s="3">
        <v>7</v>
      </c>
      <c r="C229" s="3" t="s">
        <v>693</v>
      </c>
      <c r="F229" s="3" t="s">
        <v>694</v>
      </c>
      <c r="G229" s="4"/>
      <c r="H229" s="4" t="str">
        <f t="shared" si="3"/>
        <v/>
      </c>
      <c r="I229" s="3" t="s">
        <v>695</v>
      </c>
      <c r="J229" s="3" t="s">
        <v>684</v>
      </c>
      <c r="K229" s="3" t="s">
        <v>685</v>
      </c>
    </row>
    <row r="230" spans="1:11" ht="25" customHeight="1">
      <c r="A230" s="3" t="s">
        <v>696</v>
      </c>
      <c r="B230" s="3">
        <v>7</v>
      </c>
      <c r="C230" s="3" t="s">
        <v>697</v>
      </c>
      <c r="F230" s="3" t="s">
        <v>597</v>
      </c>
      <c r="G230" s="4"/>
      <c r="H230" s="4" t="str">
        <f t="shared" si="3"/>
        <v/>
      </c>
      <c r="I230" s="3" t="s">
        <v>698</v>
      </c>
      <c r="J230" s="3" t="s">
        <v>699</v>
      </c>
      <c r="K230" s="3" t="s">
        <v>700</v>
      </c>
    </row>
    <row r="231" spans="1:11" ht="25" customHeight="1">
      <c r="A231" s="3" t="s">
        <v>701</v>
      </c>
      <c r="B231" s="3">
        <v>8</v>
      </c>
      <c r="C231" s="3" t="s">
        <v>702</v>
      </c>
      <c r="D231" s="3" t="s">
        <v>339</v>
      </c>
      <c r="F231" s="3" t="s">
        <v>207</v>
      </c>
      <c r="G231" s="4">
        <v>273.42857142857144</v>
      </c>
      <c r="H231" s="4">
        <f t="shared" si="3"/>
        <v>303.8095238095238</v>
      </c>
      <c r="I231" s="3" t="s">
        <v>703</v>
      </c>
      <c r="J231" s="3" t="s">
        <v>704</v>
      </c>
      <c r="K231" s="3" t="s">
        <v>704</v>
      </c>
    </row>
    <row r="232" spans="1:11" ht="25" customHeight="1">
      <c r="A232" s="3" t="s">
        <v>705</v>
      </c>
      <c r="B232" s="3">
        <v>8</v>
      </c>
      <c r="C232" s="3" t="s">
        <v>706</v>
      </c>
      <c r="D232" s="3" t="s">
        <v>339</v>
      </c>
      <c r="F232" s="3" t="s">
        <v>707</v>
      </c>
      <c r="G232" s="4">
        <v>38.114285714285714</v>
      </c>
      <c r="H232" s="4">
        <f t="shared" si="3"/>
        <v>42.349206349206348</v>
      </c>
      <c r="I232" s="3" t="s">
        <v>708</v>
      </c>
      <c r="J232" s="3" t="s">
        <v>709</v>
      </c>
      <c r="K232" s="3" t="s">
        <v>709</v>
      </c>
    </row>
    <row r="233" spans="1:11" ht="25" customHeight="1">
      <c r="A233" s="3" t="s">
        <v>710</v>
      </c>
      <c r="B233" s="3">
        <v>8</v>
      </c>
      <c r="C233" s="3" t="s">
        <v>711</v>
      </c>
      <c r="D233" s="3" t="s">
        <v>339</v>
      </c>
      <c r="F233" s="3" t="s">
        <v>207</v>
      </c>
      <c r="G233" s="4">
        <v>62.971428571428575</v>
      </c>
      <c r="H233" s="4">
        <f t="shared" si="3"/>
        <v>69.968253968253975</v>
      </c>
      <c r="I233" s="3" t="s">
        <v>712</v>
      </c>
      <c r="J233" s="3" t="s">
        <v>713</v>
      </c>
      <c r="K233" s="3" t="s">
        <v>714</v>
      </c>
    </row>
    <row r="234" spans="1:11" ht="25" customHeight="1">
      <c r="A234" s="3" t="s">
        <v>715</v>
      </c>
      <c r="B234" s="3">
        <v>8</v>
      </c>
      <c r="C234" s="3" t="s">
        <v>716</v>
      </c>
      <c r="D234" s="3" t="s">
        <v>339</v>
      </c>
      <c r="F234" s="3" t="s">
        <v>207</v>
      </c>
      <c r="G234" s="4">
        <v>91.142857142857139</v>
      </c>
      <c r="H234" s="4">
        <f t="shared" si="3"/>
        <v>101.26984126984127</v>
      </c>
      <c r="I234" s="3" t="s">
        <v>717</v>
      </c>
      <c r="J234" s="3" t="s">
        <v>718</v>
      </c>
      <c r="K234" s="3" t="s">
        <v>718</v>
      </c>
    </row>
    <row r="235" spans="1:11" ht="25" customHeight="1">
      <c r="A235" s="3" t="s">
        <v>719</v>
      </c>
      <c r="B235" s="3">
        <v>8</v>
      </c>
      <c r="C235" s="3" t="s">
        <v>720</v>
      </c>
      <c r="D235" s="3" t="s">
        <v>339</v>
      </c>
      <c r="F235" s="3" t="s">
        <v>207</v>
      </c>
      <c r="G235" s="4">
        <v>91.142857142857139</v>
      </c>
      <c r="H235" s="4">
        <f t="shared" si="3"/>
        <v>101.26984126984127</v>
      </c>
      <c r="I235" s="3" t="s">
        <v>721</v>
      </c>
      <c r="J235" s="3" t="s">
        <v>718</v>
      </c>
      <c r="K235" s="3" t="s">
        <v>718</v>
      </c>
    </row>
    <row r="236" spans="1:11" ht="25" customHeight="1">
      <c r="A236" s="3" t="s">
        <v>722</v>
      </c>
      <c r="B236" s="3">
        <v>8</v>
      </c>
      <c r="C236" s="3" t="s">
        <v>723</v>
      </c>
      <c r="D236" s="3" t="s">
        <v>339</v>
      </c>
      <c r="F236" s="3" t="s">
        <v>724</v>
      </c>
      <c r="G236" s="4">
        <v>198.85714285714286</v>
      </c>
      <c r="H236" s="4">
        <f t="shared" si="3"/>
        <v>220.95238095238096</v>
      </c>
      <c r="I236" s="3" t="s">
        <v>725</v>
      </c>
      <c r="J236" s="3" t="s">
        <v>726</v>
      </c>
      <c r="K236" s="3" t="s">
        <v>726</v>
      </c>
    </row>
    <row r="237" spans="1:11" ht="25" customHeight="1">
      <c r="A237" s="3" t="s">
        <v>727</v>
      </c>
      <c r="B237" s="3">
        <v>8</v>
      </c>
      <c r="C237" s="3" t="s">
        <v>728</v>
      </c>
      <c r="D237" s="3" t="s">
        <v>339</v>
      </c>
      <c r="F237" s="3" t="s">
        <v>729</v>
      </c>
      <c r="G237" s="4">
        <v>46.4</v>
      </c>
      <c r="H237" s="4">
        <f t="shared" si="3"/>
        <v>51.55555555555555</v>
      </c>
      <c r="I237" s="3" t="s">
        <v>730</v>
      </c>
      <c r="J237" s="3" t="s">
        <v>731</v>
      </c>
      <c r="K237" s="3" t="s">
        <v>732</v>
      </c>
    </row>
  </sheetData>
  <customSheetViews>
    <customSheetView guid="{B6139401-3496-4809-86E1-3C50A31B3619}" filter="1" showAutoFilter="1">
      <pageMargins left="0.7" right="0.7" top="0.75" bottom="0.75" header="0.3" footer="0.3"/>
      <autoFilter ref="A4:W240" xr:uid="{E4571EE4-5351-C84E-B148-86ADBB056536}">
        <filterColumn colId="1">
          <filters>
            <filter val="Sí"/>
          </filters>
        </filterColumn>
      </autoFilter>
      <extLst>
        <ext uri="GoogleSheetsCustomDataVersion1">
          <go:sheetsCustomData xmlns:go="http://customooxmlschemas.google.com/" filterViewId="661774822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Handoff Diseño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Liliana Rocha Castro</dc:creator>
  <cp:lastModifiedBy>Yoelkys R. Rodríguez González</cp:lastModifiedBy>
  <dcterms:created xsi:type="dcterms:W3CDTF">2026-09-11T16:59:32Z</dcterms:created>
  <dcterms:modified xsi:type="dcterms:W3CDTF">2026-09-11T18:57:55Z</dcterms:modified>
</cp:coreProperties>
</file>